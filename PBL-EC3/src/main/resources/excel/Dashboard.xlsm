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efsaedu-my.sharepoint.com/personal/082230001_faculdade_cefsa_edu_br/Documents/projetos/PBL - 3S/"/>
    </mc:Choice>
  </mc:AlternateContent>
  <xr:revisionPtr revIDLastSave="79921" documentId="13_ncr:1_{DDDACED9-30C1-49B3-A7A8-BCEB3346C61C}" xr6:coauthVersionLast="47" xr6:coauthVersionMax="47" xr10:uidLastSave="{E58C8D11-8532-44E9-ACF8-F8A4A8372FC9}"/>
  <bookViews>
    <workbookView xWindow="-120" yWindow="-120" windowWidth="29040" windowHeight="15840" xr2:uid="{9B452E65-EE66-4AAC-81BA-5408C29E36FC}"/>
  </bookViews>
  <sheets>
    <sheet name="Consulta" sheetId="2" r:id="rId1"/>
    <sheet name="Comparador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C3" i="4"/>
  <c r="D3" i="4" s="1"/>
  <c r="A3" i="4"/>
  <c r="A4" i="4" s="1"/>
  <c r="B4" i="4" s="1"/>
  <c r="B2" i="4"/>
  <c r="A3" i="2"/>
  <c r="A4" i="2" s="1"/>
  <c r="B4" i="2" s="1"/>
  <c r="B2" i="2"/>
  <c r="C4" i="4" l="1"/>
  <c r="B3" i="4"/>
  <c r="A5" i="4"/>
  <c r="B5" i="4" s="1"/>
  <c r="B3" i="2"/>
  <c r="A5" i="2"/>
  <c r="B5" i="2" s="1"/>
  <c r="D4" i="4" l="1"/>
  <c r="C5" i="4"/>
  <c r="A6" i="4"/>
  <c r="B6" i="4" s="1"/>
  <c r="A6" i="2"/>
  <c r="B6" i="2" s="1"/>
  <c r="C6" i="4" l="1"/>
  <c r="D5" i="4"/>
  <c r="A7" i="4"/>
  <c r="B7" i="4" s="1"/>
  <c r="A7" i="2"/>
  <c r="B7" i="2" s="1"/>
  <c r="C7" i="4" l="1"/>
  <c r="D6" i="4"/>
  <c r="A8" i="4"/>
  <c r="B8" i="4" s="1"/>
  <c r="A8" i="2"/>
  <c r="B8" i="2" s="1"/>
  <c r="C8" i="4" l="1"/>
  <c r="D7" i="4"/>
  <c r="A9" i="4"/>
  <c r="B9" i="4" s="1"/>
  <c r="A9" i="2"/>
  <c r="B9" i="2" s="1"/>
  <c r="C9" i="4" l="1"/>
  <c r="D8" i="4"/>
  <c r="A10" i="4"/>
  <c r="B10" i="4" s="1"/>
  <c r="A10" i="2"/>
  <c r="B10" i="2" s="1"/>
  <c r="C10" i="4" l="1"/>
  <c r="D9" i="4"/>
  <c r="A11" i="4"/>
  <c r="B11" i="4" s="1"/>
  <c r="A11" i="2"/>
  <c r="B11" i="2" s="1"/>
  <c r="C11" i="4" l="1"/>
  <c r="D10" i="4"/>
  <c r="A12" i="4"/>
  <c r="B12" i="4" s="1"/>
  <c r="A12" i="2"/>
  <c r="C12" i="4" l="1"/>
  <c r="D11" i="4"/>
  <c r="A13" i="4"/>
  <c r="B13" i="4" s="1"/>
  <c r="B12" i="2"/>
  <c r="A13" i="2"/>
  <c r="C13" i="4" l="1"/>
  <c r="D12" i="4"/>
  <c r="A14" i="4"/>
  <c r="B14" i="4" s="1"/>
  <c r="B13" i="2"/>
  <c r="A14" i="2"/>
  <c r="C14" i="4" l="1"/>
  <c r="D13" i="4"/>
  <c r="A15" i="4"/>
  <c r="B15" i="4" s="1"/>
  <c r="B14" i="2"/>
  <c r="A15" i="2"/>
  <c r="C15" i="4" l="1"/>
  <c r="D14" i="4"/>
  <c r="A16" i="4"/>
  <c r="B16" i="4" s="1"/>
  <c r="B15" i="2"/>
  <c r="A16" i="2"/>
  <c r="C16" i="4" l="1"/>
  <c r="D15" i="4"/>
  <c r="A17" i="4"/>
  <c r="B17" i="4" s="1"/>
  <c r="B16" i="2"/>
  <c r="A17" i="2"/>
  <c r="C17" i="4" l="1"/>
  <c r="D16" i="4"/>
  <c r="A18" i="4"/>
  <c r="B18" i="4" s="1"/>
  <c r="A18" i="2"/>
  <c r="B17" i="2"/>
  <c r="C18" i="4" l="1"/>
  <c r="D17" i="4"/>
  <c r="A19" i="4"/>
  <c r="B19" i="4" s="1"/>
  <c r="A19" i="2"/>
  <c r="B18" i="2"/>
  <c r="C19" i="4" l="1"/>
  <c r="D18" i="4"/>
  <c r="A20" i="4"/>
  <c r="B20" i="4" s="1"/>
  <c r="B19" i="2"/>
  <c r="A20" i="2"/>
  <c r="C20" i="4" l="1"/>
  <c r="D19" i="4"/>
  <c r="A21" i="4"/>
  <c r="B21" i="4" s="1"/>
  <c r="B20" i="2"/>
  <c r="A21" i="2"/>
  <c r="C21" i="4" l="1"/>
  <c r="D20" i="4"/>
  <c r="A22" i="4"/>
  <c r="B22" i="4" s="1"/>
  <c r="B21" i="2"/>
  <c r="A22" i="2"/>
  <c r="B22" i="2" s="1"/>
  <c r="C22" i="4" l="1"/>
  <c r="D22" i="4" s="1"/>
  <c r="D21" i="4"/>
</calcChain>
</file>

<file path=xl/sharedStrings.xml><?xml version="1.0" encoding="utf-8"?>
<sst xmlns="http://schemas.openxmlformats.org/spreadsheetml/2006/main" count="23" uniqueCount="14">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</sst>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6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0.13300000000000001</c:v>
                </c:pt>
                <c:pt idx="2">
                  <c:v>0.26600000000000001</c:v>
                </c:pt>
                <c:pt idx="3">
                  <c:v>0.39900000000000002</c:v>
                </c:pt>
                <c:pt idx="4">
                  <c:v>0.53200000000000003</c:v>
                </c:pt>
                <c:pt idx="5">
                  <c:v>0.66500000000000004</c:v>
                </c:pt>
                <c:pt idx="6">
                  <c:v>0.79800000000000004</c:v>
                </c:pt>
                <c:pt idx="7">
                  <c:v>0.93100000000000005</c:v>
                </c:pt>
                <c:pt idx="8">
                  <c:v>1.0640000000000001</c:v>
                </c:pt>
                <c:pt idx="9">
                  <c:v>1.1970000000000001</c:v>
                </c:pt>
                <c:pt idx="10">
                  <c:v>1.33</c:v>
                </c:pt>
                <c:pt idx="11">
                  <c:v>1.4630000000000001</c:v>
                </c:pt>
                <c:pt idx="12">
                  <c:v>1.5960000000000001</c:v>
                </c:pt>
                <c:pt idx="13">
                  <c:v>1.7290000000000001</c:v>
                </c:pt>
                <c:pt idx="14">
                  <c:v>1.8620000000000001</c:v>
                </c:pt>
                <c:pt idx="15">
                  <c:v>1.9950000000000001</c:v>
                </c:pt>
                <c:pt idx="16">
                  <c:v>2.1280000000000001</c:v>
                </c:pt>
                <c:pt idx="17">
                  <c:v>2.2610000000000001</c:v>
                </c:pt>
                <c:pt idx="18">
                  <c:v>2.3940000000000001</c:v>
                </c:pt>
                <c:pt idx="19">
                  <c:v>2.5270000000000001</c:v>
                </c:pt>
                <c:pt idx="20">
                  <c:v>2.66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0.91331237540125743</c:v>
                </c:pt>
                <c:pt idx="1">
                  <c:v>0.97826650847404395</c:v>
                </c:pt>
                <c:pt idx="2">
                  <c:v>0.6695560853654301</c:v>
                </c:pt>
                <c:pt idx="3">
                  <c:v>0.10509799502155232</c:v>
                </c:pt>
                <c:pt idx="4">
                  <c:v>-0.49950395727109392</c:v>
                </c:pt>
                <c:pt idx="5">
                  <c:v>-0.91331237540125743</c:v>
                </c:pt>
                <c:pt idx="6">
                  <c:v>-0.97826650847404406</c:v>
                </c:pt>
                <c:pt idx="7">
                  <c:v>-0.66955608536543287</c:v>
                </c:pt>
                <c:pt idx="8">
                  <c:v>-0.10509799502155066</c:v>
                </c:pt>
                <c:pt idx="9">
                  <c:v>0.49950395727109381</c:v>
                </c:pt>
                <c:pt idx="10">
                  <c:v>0.91331237540125809</c:v>
                </c:pt>
                <c:pt idx="11">
                  <c:v>0.97826650847404373</c:v>
                </c:pt>
                <c:pt idx="12">
                  <c:v>0.66955608536543298</c:v>
                </c:pt>
                <c:pt idx="13">
                  <c:v>0.10509799502155079</c:v>
                </c:pt>
                <c:pt idx="14">
                  <c:v>-0.4995039572710937</c:v>
                </c:pt>
                <c:pt idx="15">
                  <c:v>-0.91331237540125809</c:v>
                </c:pt>
                <c:pt idx="16">
                  <c:v>-0.97826650847404373</c:v>
                </c:pt>
                <c:pt idx="17">
                  <c:v>-0.6695560853654331</c:v>
                </c:pt>
                <c:pt idx="18">
                  <c:v>-0.10509799502155091</c:v>
                </c:pt>
                <c:pt idx="19">
                  <c:v>0.49950395727109359</c:v>
                </c:pt>
                <c:pt idx="20">
                  <c:v>0.91331237540125798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0.33688985339220928</c:v>
                </c:pt>
                <c:pt idx="1">
                  <c:v>-0.28087609927130641</c:v>
                </c:pt>
                <c:pt idx="2">
                  <c:v>-0.79135692864066276</c:v>
                </c:pt>
                <c:pt idx="3">
                  <c:v>-0.99956630850202144</c:v>
                </c:pt>
                <c:pt idx="4">
                  <c:v>-0.82597533252487487</c:v>
                </c:pt>
                <c:pt idx="5">
                  <c:v>-0.33688985339221944</c:v>
                </c:pt>
                <c:pt idx="6">
                  <c:v>0.28087609927130969</c:v>
                </c:pt>
                <c:pt idx="7">
                  <c:v>0.79135692864065621</c:v>
                </c:pt>
                <c:pt idx="8">
                  <c:v>0.99956630850202155</c:v>
                </c:pt>
                <c:pt idx="9">
                  <c:v>0.82597533252487287</c:v>
                </c:pt>
                <c:pt idx="10">
                  <c:v>0.33688985339221622</c:v>
                </c:pt>
                <c:pt idx="11">
                  <c:v>-0.28087609927129936</c:v>
                </c:pt>
                <c:pt idx="12">
                  <c:v>-0.79135692864065832</c:v>
                </c:pt>
                <c:pt idx="13">
                  <c:v>-0.99956630850202166</c:v>
                </c:pt>
                <c:pt idx="14">
                  <c:v>-0.82597533252486299</c:v>
                </c:pt>
                <c:pt idx="15">
                  <c:v>-0.336889853392213</c:v>
                </c:pt>
                <c:pt idx="16">
                  <c:v>0.28087609927130264</c:v>
                </c:pt>
                <c:pt idx="17">
                  <c:v>0.79135692864066043</c:v>
                </c:pt>
                <c:pt idx="18">
                  <c:v>0.99956630850202133</c:v>
                </c:pt>
                <c:pt idx="19">
                  <c:v>0.82597533252486099</c:v>
                </c:pt>
                <c:pt idx="20">
                  <c:v>0.33688985339220978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3.4354408399680424E-2</c:v>
                </c:pt>
                <c:pt idx="1">
                  <c:v>-0.55964499012654756</c:v>
                </c:pt>
                <c:pt idx="2">
                  <c:v>-0.93987902405803314</c:v>
                </c:pt>
                <c:pt idx="3">
                  <c:v>-0.96111121611243111</c:v>
                </c:pt>
                <c:pt idx="4">
                  <c:v>-0.61523159058062682</c:v>
                </c:pt>
                <c:pt idx="5">
                  <c:v>-3.4354408399680549E-2</c:v>
                </c:pt>
                <c:pt idx="6">
                  <c:v>0.55964499012654745</c:v>
                </c:pt>
                <c:pt idx="7">
                  <c:v>0.9398790240580337</c:v>
                </c:pt>
                <c:pt idx="8">
                  <c:v>0.96111121611243167</c:v>
                </c:pt>
                <c:pt idx="9">
                  <c:v>0.61523159058062693</c:v>
                </c:pt>
                <c:pt idx="10">
                  <c:v>3.4354408399681555E-2</c:v>
                </c:pt>
                <c:pt idx="11">
                  <c:v>-0.55964499012654589</c:v>
                </c:pt>
                <c:pt idx="12">
                  <c:v>-0.9398790240580327</c:v>
                </c:pt>
                <c:pt idx="13">
                  <c:v>-0.96111121611243222</c:v>
                </c:pt>
                <c:pt idx="14">
                  <c:v>-0.61523159058062771</c:v>
                </c:pt>
                <c:pt idx="15">
                  <c:v>-3.4354408399683012E-2</c:v>
                </c:pt>
                <c:pt idx="16">
                  <c:v>0.55964499012654578</c:v>
                </c:pt>
                <c:pt idx="17">
                  <c:v>0.93987902405803325</c:v>
                </c:pt>
                <c:pt idx="18">
                  <c:v>0.96111121611243133</c:v>
                </c:pt>
                <c:pt idx="19">
                  <c:v>0.61523159058062571</c:v>
                </c:pt>
                <c:pt idx="20">
                  <c:v>3.4354408399678925E-2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tabSelected="1" workbookViewId="0">
      <selection activeCell="W15" sqref="W15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26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0.91331237540125743</v>
      </c>
      <c r="C2" s="24">
        <v>10.05078125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0.33</v>
      </c>
      <c r="X2" s="10"/>
      <c r="Y2" s="10"/>
      <c r="Z2" s="10"/>
      <c r="AA2" s="10"/>
      <c r="AB2" s="10"/>
    </row>
    <row r="3" spans="1:28" ht="23.25" x14ac:dyDescent="0.25">
      <c r="A3" s="22">
        <f>$W$3/10</f>
        <v>0.13300000000000001</v>
      </c>
      <c r="B3" s="22">
        <f t="shared" ref="B3:B12" si="0">IFERROR(SIN(2*PI()*($W$2*C3-A3/$W$3)),0)</f>
        <v>0.97826650847404395</v>
      </c>
      <c r="C3" s="24">
        <v>10.05078125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1.33</v>
      </c>
      <c r="X3" s="10"/>
      <c r="Y3" s="10"/>
      <c r="Z3" s="10"/>
      <c r="AA3" s="10"/>
      <c r="AB3" s="10"/>
    </row>
    <row r="4" spans="1:28" ht="23.25" x14ac:dyDescent="0.25">
      <c r="A4" s="22">
        <f>A3+$A$3</f>
        <v>0.26600000000000001</v>
      </c>
      <c r="B4" s="22">
        <f t="shared" si="0"/>
        <v>0.6695560853654301</v>
      </c>
      <c r="C4" s="24">
        <v>10.05078125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10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0.39900000000000002</v>
      </c>
      <c r="B5" s="22">
        <f t="shared" si="0"/>
        <v>0.10509799502155232</v>
      </c>
      <c r="C5" s="24">
        <v>10.05078125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0.44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0.53200000000000003</v>
      </c>
      <c r="B6" s="22">
        <f t="shared" si="0"/>
        <v>-0.49950395727109392</v>
      </c>
      <c r="C6" s="24">
        <v>10.05078125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0.66500000000000004</v>
      </c>
      <c r="B7" s="22">
        <f t="shared" si="0"/>
        <v>-0.91331237540125743</v>
      </c>
      <c r="C7" s="24">
        <v>10.05078125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0.79800000000000004</v>
      </c>
      <c r="B8" s="22">
        <f t="shared" si="0"/>
        <v>-0.97826650847404406</v>
      </c>
      <c r="C8" s="24">
        <v>10.05078125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0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0.93100000000000005</v>
      </c>
      <c r="B9" s="22">
        <f t="shared" si="0"/>
        <v>-0.66955608536543287</v>
      </c>
      <c r="C9" s="24">
        <v>10.05078125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0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1.0640000000000001</v>
      </c>
      <c r="B10" s="22">
        <f t="shared" si="0"/>
        <v>-0.10509799502155066</v>
      </c>
      <c r="C10" s="24">
        <v>10.05078125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0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1.1970000000000001</v>
      </c>
      <c r="B11" s="22">
        <f t="shared" si="0"/>
        <v>0.49950395727109381</v>
      </c>
      <c r="C11" s="24">
        <v>10.05078125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0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1.33</v>
      </c>
      <c r="B12" s="22">
        <f t="shared" si="0"/>
        <v>0.91331237540125809</v>
      </c>
      <c r="C12" s="24">
        <v>10.05078125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0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1.4630000000000001</v>
      </c>
      <c r="B13" s="22">
        <f t="shared" ref="B13:B22" si="2">IFERROR(SIN(2*PI()*($W$2*C13-A13/$W$3)),0)</f>
        <v>0.97826650847404373</v>
      </c>
      <c r="C13" s="24">
        <v>10.05078125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0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1.5960000000000001</v>
      </c>
      <c r="B14" s="22">
        <f t="shared" si="2"/>
        <v>0.66955608536543298</v>
      </c>
      <c r="C14" s="24">
        <v>10.05078125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0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1.7290000000000001</v>
      </c>
      <c r="B15" s="22">
        <f t="shared" si="2"/>
        <v>0.10509799502155079</v>
      </c>
      <c r="C15" s="24">
        <v>10.05078125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28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1.8620000000000001</v>
      </c>
      <c r="B16" s="22">
        <f t="shared" si="2"/>
        <v>-0.4995039572710937</v>
      </c>
      <c r="C16" s="24">
        <v>10.05078125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0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1.9950000000000001</v>
      </c>
      <c r="B17" s="22">
        <f t="shared" si="2"/>
        <v>-0.91331237540125809</v>
      </c>
      <c r="C17" s="24">
        <v>10.05078125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0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2.1280000000000001</v>
      </c>
      <c r="B18" s="22">
        <f t="shared" si="2"/>
        <v>-0.97826650847404373</v>
      </c>
      <c r="C18" s="24">
        <v>10.05078125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0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2.2610000000000001</v>
      </c>
      <c r="B19" s="22">
        <f t="shared" si="2"/>
        <v>-0.6695560853654331</v>
      </c>
      <c r="C19" s="24">
        <v>10.05078125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0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2.3940000000000001</v>
      </c>
      <c r="B20" s="22">
        <f t="shared" si="2"/>
        <v>-0.10509799502155091</v>
      </c>
      <c r="C20" s="24">
        <v>10.05078125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0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2.5270000000000001</v>
      </c>
      <c r="B21" s="22">
        <f t="shared" si="2"/>
        <v>0.49950395727109359</v>
      </c>
      <c r="C21" s="24">
        <v>10.05078125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0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2.66</v>
      </c>
      <c r="B22" s="22">
        <f t="shared" si="2"/>
        <v>0.91331237540125798</v>
      </c>
      <c r="C22" s="24">
        <v>10.05078125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0"/>
      <c r="W22" s="10"/>
      <c r="X22" s="10"/>
      <c r="Y22" s="10"/>
      <c r="Z22" s="10"/>
      <c r="AA22" s="10"/>
      <c r="AB22" s="10"/>
    </row>
    <row r="23" spans="1:28" x14ac:dyDescent="0.25">
      <c r="A23" s="29"/>
      <c r="B23" s="29"/>
      <c r="C23" s="29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28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29"/>
      <c r="B24" s="29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0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0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0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0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0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0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1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2" t="s">
        <v>8</v>
      </c>
      <c r="W1" s="33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3.4354408399680424E-2</v>
      </c>
      <c r="C2" s="22">
        <v>0</v>
      </c>
      <c r="D2" s="22">
        <f t="shared" ref="D2:D22" si="0">SIN(2*PI()*($W$6*E2-C2/$W$7))</f>
        <v>0.33688985339220928</v>
      </c>
      <c r="E2" s="24">
        <v>10.02734375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-0.55964499012654756</v>
      </c>
      <c r="C3" s="22">
        <f>$W$7/10</f>
        <v>0.12</v>
      </c>
      <c r="D3" s="22">
        <f t="shared" si="0"/>
        <v>-0.28087609927130641</v>
      </c>
      <c r="E3" s="24">
        <v>10.02734375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-0.93987902405803314</v>
      </c>
      <c r="C4" s="22">
        <f>C3+$C$3</f>
        <v>0.24</v>
      </c>
      <c r="D4" s="22">
        <f t="shared" si="0"/>
        <v>-0.79135692864066276</v>
      </c>
      <c r="E4" s="24">
        <v>10.02734375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-0.96111121611243111</v>
      </c>
      <c r="C5" s="22">
        <f t="shared" ref="C5:C22" si="3">C4+$C$3</f>
        <v>0.36</v>
      </c>
      <c r="D5" s="22">
        <f t="shared" si="0"/>
        <v>-0.99956630850202144</v>
      </c>
      <c r="E5" s="24">
        <v>10.02734375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4" t="s">
        <v>9</v>
      </c>
      <c r="W5" s="35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-0.61523159058062682</v>
      </c>
      <c r="C6" s="22">
        <f t="shared" si="3"/>
        <v>0.48</v>
      </c>
      <c r="D6" s="22">
        <f t="shared" si="0"/>
        <v>-0.82597533252487487</v>
      </c>
      <c r="E6" s="24">
        <v>10.02734375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-3.4354408399680549E-2</v>
      </c>
      <c r="C7" s="22">
        <f t="shared" si="3"/>
        <v>0.6</v>
      </c>
      <c r="D7" s="22">
        <f t="shared" si="0"/>
        <v>-0.33688985339221944</v>
      </c>
      <c r="E7" s="24">
        <v>10.02734375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0.55964499012654745</v>
      </c>
      <c r="C8" s="22">
        <f t="shared" si="3"/>
        <v>0.72</v>
      </c>
      <c r="D8" s="22">
        <f t="shared" si="0"/>
        <v>0.28087609927130969</v>
      </c>
      <c r="E8" s="24">
        <v>10.02734375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0.9398790240580337</v>
      </c>
      <c r="C9" s="22">
        <f t="shared" si="3"/>
        <v>0.84</v>
      </c>
      <c r="D9" s="22">
        <f t="shared" si="0"/>
        <v>0.79135692864065621</v>
      </c>
      <c r="E9" s="24">
        <v>10.02734375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0.96111121611243167</v>
      </c>
      <c r="C10" s="22">
        <f t="shared" si="3"/>
        <v>0.96</v>
      </c>
      <c r="D10" s="22">
        <f t="shared" si="0"/>
        <v>0.99956630850202155</v>
      </c>
      <c r="E10" s="24">
        <v>10.02734375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0.61523159058062693</v>
      </c>
      <c r="C11" s="22">
        <f t="shared" si="3"/>
        <v>1.08</v>
      </c>
      <c r="D11" s="22">
        <f t="shared" si="0"/>
        <v>0.82597533252487287</v>
      </c>
      <c r="E11" s="24">
        <v>10.02734375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3.4354408399681555E-2</v>
      </c>
      <c r="C12" s="22">
        <f t="shared" si="3"/>
        <v>1.2000000000000002</v>
      </c>
      <c r="D12" s="22">
        <f t="shared" si="0"/>
        <v>0.33688985339221622</v>
      </c>
      <c r="E12" s="24">
        <v>10.02734375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-0.55964499012654589</v>
      </c>
      <c r="C13" s="22">
        <f t="shared" si="3"/>
        <v>1.3200000000000003</v>
      </c>
      <c r="D13" s="22">
        <f t="shared" si="0"/>
        <v>-0.28087609927129936</v>
      </c>
      <c r="E13" s="24">
        <v>10.02734375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-0.9398790240580327</v>
      </c>
      <c r="C14" s="22">
        <f t="shared" si="3"/>
        <v>1.4400000000000004</v>
      </c>
      <c r="D14" s="22">
        <f t="shared" si="0"/>
        <v>-0.79135692864065832</v>
      </c>
      <c r="E14" s="24">
        <v>10.02734375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-0.96111121611243222</v>
      </c>
      <c r="C15" s="22">
        <f t="shared" si="3"/>
        <v>1.5600000000000005</v>
      </c>
      <c r="D15" s="22">
        <f t="shared" si="0"/>
        <v>-0.99956630850202166</v>
      </c>
      <c r="E15" s="24">
        <v>10.02734375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-0.61523159058062771</v>
      </c>
      <c r="C16" s="22">
        <f t="shared" si="3"/>
        <v>1.6800000000000006</v>
      </c>
      <c r="D16" s="22">
        <f t="shared" si="0"/>
        <v>-0.82597533252486299</v>
      </c>
      <c r="E16" s="24">
        <v>10.02734375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-3.4354408399683012E-2</v>
      </c>
      <c r="C17" s="22">
        <f t="shared" si="3"/>
        <v>1.8000000000000007</v>
      </c>
      <c r="D17" s="22">
        <f t="shared" si="0"/>
        <v>-0.336889853392213</v>
      </c>
      <c r="E17" s="24">
        <v>10.02734375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0.55964499012654578</v>
      </c>
      <c r="C18" s="22">
        <f t="shared" si="3"/>
        <v>1.9200000000000008</v>
      </c>
      <c r="D18" s="22">
        <f t="shared" si="0"/>
        <v>0.28087609927130264</v>
      </c>
      <c r="E18" s="24">
        <v>10.02734375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0.93987902405803325</v>
      </c>
      <c r="C19" s="22">
        <f t="shared" si="3"/>
        <v>2.0400000000000009</v>
      </c>
      <c r="D19" s="22">
        <f t="shared" si="0"/>
        <v>0.79135692864066043</v>
      </c>
      <c r="E19" s="24">
        <v>10.02734375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0.96111121611243133</v>
      </c>
      <c r="C20" s="22">
        <f t="shared" si="3"/>
        <v>2.160000000000001</v>
      </c>
      <c r="D20" s="22">
        <f t="shared" si="0"/>
        <v>0.99956630850202133</v>
      </c>
      <c r="E20" s="24">
        <v>10.02734375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0.61523159058062571</v>
      </c>
      <c r="C21" s="22">
        <f t="shared" si="3"/>
        <v>2.2800000000000011</v>
      </c>
      <c r="D21" s="22">
        <f t="shared" si="0"/>
        <v>0.82597533252486099</v>
      </c>
      <c r="E21" s="24">
        <v>10.02734375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3.4354408399678925E-2</v>
      </c>
      <c r="C22" s="22">
        <f t="shared" si="3"/>
        <v>2.4000000000000012</v>
      </c>
      <c r="D22" s="22">
        <f t="shared" si="0"/>
        <v>0.33688985339220978</v>
      </c>
      <c r="E22" s="24">
        <v>10.02734375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29"/>
      <c r="B23" s="29"/>
      <c r="C23" s="29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29"/>
      <c r="B24" s="29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2024-10-15T15:45:16Z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