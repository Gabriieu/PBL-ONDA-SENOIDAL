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eliel\Desktop\"/>
    </mc:Choice>
  </mc:AlternateContent>
  <xr:revisionPtr revIDLastSave="0" documentId="13_ncr:1_{86B45E0D-3579-42EC-A8E3-03791AF8D884}" xr6:coauthVersionLast="47" xr6:coauthVersionMax="47" xr10:uidLastSave="{00000000-0000-0000-0000-000000000000}"/>
  <bookViews>
    <workbookView xWindow="-120" yWindow="-120" windowWidth="29040" windowHeight="15840" xr2:uid="{9B452E65-EE66-4AAC-81BA-5408C29E36FC}"/>
  </bookViews>
  <sheets>
    <sheet name="Consulta Com Taylor" sheetId="7" r:id="rId1"/>
    <sheet name="Consulta" sheetId="2" r:id="rId2"/>
    <sheet name="Comparador" sheetId="4" r:id="rId3"/>
  </sheets>
  <functionGroups builtInGroupCount="19"/>
  <definedNames>
    <definedName name="_xleta.SIN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7" l="1"/>
  <c r="A4" i="7" s="1"/>
  <c r="B4" i="7" a="1"/>
  <c r="B3" i="7" a="1"/>
  <c r="B2" i="7" a="1"/>
  <c r="B4" i="7" l="1"/>
  <c r="B3" i="7"/>
  <c r="B2" i="7"/>
  <c r="A5" i="7"/>
  <c r="D2" i="4"/>
  <c r="C3" i="4"/>
  <c r="D3" i="4" s="1"/>
  <c r="A3" i="4"/>
  <c r="A4" i="4" s="1"/>
  <c r="B4" i="4" s="1"/>
  <c r="B2" i="4"/>
  <c r="A3" i="2"/>
  <c r="A4" i="2" s="1"/>
  <c r="B4" i="2" s="1"/>
  <c r="B2" i="2"/>
  <c r="B5" i="7" a="1"/>
  <c r="B5" i="7" l="1"/>
  <c r="A6" i="7"/>
  <c r="C4" i="4"/>
  <c r="B3" i="4"/>
  <c r="A5" i="4"/>
  <c r="B5" i="4" s="1"/>
  <c r="B3" i="2"/>
  <c r="A5" i="2"/>
  <c r="B5" i="2" s="1"/>
  <c r="B6" i="7" a="1"/>
  <c r="B6" i="7" l="1"/>
  <c r="A7" i="7"/>
  <c r="D4" i="4"/>
  <c r="C5" i="4"/>
  <c r="A6" i="4"/>
  <c r="B6" i="4" s="1"/>
  <c r="A6" i="2"/>
  <c r="B6" i="2" s="1"/>
  <c r="B7" i="7" a="1"/>
  <c r="B7" i="7" l="1"/>
  <c r="A8" i="7"/>
  <c r="C6" i="4"/>
  <c r="D5" i="4"/>
  <c r="A7" i="4"/>
  <c r="B7" i="4" s="1"/>
  <c r="A7" i="2"/>
  <c r="B7" i="2" s="1"/>
  <c r="B8" i="7" a="1"/>
  <c r="B8" i="7" l="1"/>
  <c r="A9" i="7"/>
  <c r="C7" i="4"/>
  <c r="D6" i="4"/>
  <c r="A8" i="4"/>
  <c r="B8" i="4" s="1"/>
  <c r="A8" i="2"/>
  <c r="B8" i="2" s="1"/>
  <c r="B9" i="7" a="1"/>
  <c r="B9" i="7" l="1"/>
  <c r="A10" i="7"/>
  <c r="C8" i="4"/>
  <c r="D7" i="4"/>
  <c r="A9" i="4"/>
  <c r="B9" i="4" s="1"/>
  <c r="A9" i="2"/>
  <c r="B9" i="2" s="1"/>
  <c r="B10" i="7" a="1"/>
  <c r="B10" i="7" l="1"/>
  <c r="A11" i="7"/>
  <c r="C9" i="4"/>
  <c r="D8" i="4"/>
  <c r="A10" i="4"/>
  <c r="B10" i="4" s="1"/>
  <c r="A10" i="2"/>
  <c r="B10" i="2" s="1"/>
  <c r="B11" i="7" a="1"/>
  <c r="B11" i="7" l="1"/>
  <c r="A12" i="7"/>
  <c r="C10" i="4"/>
  <c r="D9" i="4"/>
  <c r="A11" i="4"/>
  <c r="B11" i="4" s="1"/>
  <c r="A11" i="2"/>
  <c r="B11" i="2" s="1"/>
  <c r="B12" i="7" a="1"/>
  <c r="B12" i="7" l="1"/>
  <c r="A13" i="7"/>
  <c r="C11" i="4"/>
  <c r="D10" i="4"/>
  <c r="A12" i="4"/>
  <c r="B12" i="4" s="1"/>
  <c r="A12" i="2"/>
  <c r="B13" i="7" a="1"/>
  <c r="B13" i="7" l="1"/>
  <c r="A14" i="7"/>
  <c r="C12" i="4"/>
  <c r="D11" i="4"/>
  <c r="A13" i="4"/>
  <c r="B13" i="4" s="1"/>
  <c r="B12" i="2"/>
  <c r="A13" i="2"/>
  <c r="B14" i="7" a="1"/>
  <c r="B14" i="7" l="1"/>
  <c r="A15" i="7"/>
  <c r="C13" i="4"/>
  <c r="D12" i="4"/>
  <c r="A14" i="4"/>
  <c r="B14" i="4" s="1"/>
  <c r="B13" i="2"/>
  <c r="A14" i="2"/>
  <c r="B15" i="7" a="1"/>
  <c r="B15" i="7" l="1"/>
  <c r="A16" i="7"/>
  <c r="C14" i="4"/>
  <c r="D13" i="4"/>
  <c r="A15" i="4"/>
  <c r="B15" i="4" s="1"/>
  <c r="B14" i="2"/>
  <c r="A15" i="2"/>
  <c r="B16" i="7" a="1"/>
  <c r="B16" i="7" l="1"/>
  <c r="A17" i="7"/>
  <c r="C15" i="4"/>
  <c r="D14" i="4"/>
  <c r="A16" i="4"/>
  <c r="B16" i="4" s="1"/>
  <c r="B15" i="2"/>
  <c r="A16" i="2"/>
  <c r="B17" i="7" a="1"/>
  <c r="B17" i="7" l="1"/>
  <c r="A18" i="7"/>
  <c r="C16" i="4"/>
  <c r="D15" i="4"/>
  <c r="A17" i="4"/>
  <c r="B17" i="4" s="1"/>
  <c r="B16" i="2"/>
  <c r="A17" i="2"/>
  <c r="B18" i="7" a="1"/>
  <c r="B18" i="7" l="1"/>
  <c r="A19" i="7"/>
  <c r="C17" i="4"/>
  <c r="D16" i="4"/>
  <c r="A18" i="4"/>
  <c r="B18" i="4" s="1"/>
  <c r="A18" i="2"/>
  <c r="B17" i="2"/>
  <c r="B19" i="7" a="1"/>
  <c r="B19" i="7" l="1"/>
  <c r="A20" i="7"/>
  <c r="C18" i="4"/>
  <c r="D17" i="4"/>
  <c r="A19" i="4"/>
  <c r="B19" i="4" s="1"/>
  <c r="A19" i="2"/>
  <c r="B18" i="2"/>
  <c r="B20" i="7" a="1"/>
  <c r="B20" i="7" l="1"/>
  <c r="A21" i="7"/>
  <c r="C19" i="4"/>
  <c r="D18" i="4"/>
  <c r="A20" i="4"/>
  <c r="B20" i="4" s="1"/>
  <c r="B19" i="2"/>
  <c r="A20" i="2"/>
  <c r="B21" i="7" a="1"/>
  <c r="B21" i="7" l="1"/>
  <c r="A22" i="7"/>
  <c r="C20" i="4"/>
  <c r="D19" i="4"/>
  <c r="A21" i="4"/>
  <c r="B21" i="4" s="1"/>
  <c r="B20" i="2"/>
  <c r="A21" i="2"/>
  <c r="B22" i="7" a="1"/>
  <c r="B22" i="7" l="1"/>
  <c r="C21" i="4"/>
  <c r="D20" i="4"/>
  <c r="A22" i="4"/>
  <c r="B22" i="4" s="1"/>
  <c r="B21" i="2"/>
  <c r="A22" i="2"/>
  <c r="B22" i="2" s="1"/>
  <c r="C22" i="4" l="1"/>
  <c r="D22" i="4" s="1"/>
  <c r="D21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<sst xmlns="http://schemas.openxmlformats.org/spreadsheetml/2006/main" count="33" uniqueCount="14">
  <si>
    <t>ID</t>
  </si>
  <si>
    <t>x</t>
  </si>
  <si>
    <t>y</t>
  </si>
  <si>
    <t>t</t>
  </si>
  <si>
    <t>f</t>
  </si>
  <si>
    <t>λ</t>
  </si>
  <si>
    <r>
      <rPr>
        <b/>
        <sz val="16"/>
        <color theme="1"/>
        <rFont val="Aptos Narrow"/>
        <family val="2"/>
      </rPr>
      <t>Δ</t>
    </r>
    <r>
      <rPr>
        <b/>
        <sz val="16"/>
        <color theme="1"/>
        <rFont val="Arial"/>
        <family val="2"/>
      </rPr>
      <t>t</t>
    </r>
  </si>
  <si>
    <t>ε</t>
  </si>
  <si>
    <t>ONDA 1</t>
  </si>
  <si>
    <t>ONDA 2</t>
  </si>
  <si>
    <r>
      <rPr>
        <b/>
        <sz val="16"/>
        <rFont val="Aptos Narrow"/>
        <family val="2"/>
      </rPr>
      <t>Δ</t>
    </r>
    <r>
      <rPr>
        <b/>
        <sz val="16"/>
        <rFont val="Arial"/>
        <family val="2"/>
      </rPr>
      <t>t</t>
    </r>
  </si>
  <si>
    <t>EXECUTAR</t>
  </si>
  <si>
    <t>ADICIONAR</t>
  </si>
  <si>
    <t>MENU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</si>
</sst>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\ &quot;Hz&quot;"/>
    <numFmt numFmtId="166" formatCode="0.00\ &quot;m&quot;"/>
    <numFmt numFmtId="167" formatCode="0\ &quot;s&quot;"/>
  </numFmts>
  <fonts count="17" x14ac:knownFonts="1">
    <font>
      <sz val="11"/>
      <color theme="1"/>
      <name val="Aptos Narrow"/>
      <family val="2"/>
      <scheme val="minor"/>
    </font>
    <font>
      <b/>
      <sz val="12"/>
      <color theme="1"/>
      <name val="Arial"/>
      <family val="2"/>
    </font>
    <font>
      <b/>
      <i/>
      <sz val="12"/>
      <name val="Arial"/>
      <family val="2"/>
    </font>
    <font>
      <sz val="12"/>
      <name val="Arial"/>
      <family val="2"/>
    </font>
    <font>
      <b/>
      <sz val="16"/>
      <color theme="0"/>
      <name val="Arial"/>
      <family val="2"/>
    </font>
    <font>
      <i/>
      <sz val="18"/>
      <color theme="0"/>
      <name val="Arial"/>
      <family val="2"/>
    </font>
    <font>
      <b/>
      <sz val="16"/>
      <color theme="0"/>
      <name val="Aptos Narrow"/>
      <family val="2"/>
    </font>
    <font>
      <b/>
      <sz val="16"/>
      <color theme="1"/>
      <name val="Arial"/>
      <family val="2"/>
    </font>
    <font>
      <i/>
      <sz val="18"/>
      <color theme="1"/>
      <name val="Arial"/>
      <family val="2"/>
    </font>
    <font>
      <b/>
      <sz val="16"/>
      <color theme="1"/>
      <name val="Aptos Narrow"/>
      <family val="2"/>
    </font>
    <font>
      <u/>
      <sz val="11"/>
      <color theme="1"/>
      <name val="Aptos Narrow"/>
      <family val="2"/>
      <scheme val="minor"/>
    </font>
    <font>
      <b/>
      <sz val="16"/>
      <name val="Arial"/>
      <family val="2"/>
    </font>
    <font>
      <b/>
      <sz val="16"/>
      <name val="Aptos Narrow"/>
      <family val="2"/>
    </font>
    <font>
      <i/>
      <sz val="18"/>
      <name val="Arial"/>
      <family val="2"/>
    </font>
    <font>
      <b/>
      <i/>
      <sz val="12"/>
      <color theme="1"/>
      <name val="Arial"/>
      <family val="2"/>
    </font>
    <font>
      <b/>
      <i/>
      <sz val="12"/>
      <color theme="0"/>
      <name val="Arial"/>
      <family val="2"/>
    </font>
    <font>
      <sz val="11"/>
      <color theme="0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249977111117893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41">
    <xf numFmtId="0" fontId="0" fillId="0" borderId="0" xfId="0"/>
    <xf numFmtId="164" fontId="3" fillId="2" borderId="0" xfId="0" applyNumberFormat="1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165" fontId="8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166" fontId="8" fillId="3" borderId="1" xfId="0" applyNumberFormat="1" applyFont="1" applyFill="1" applyBorder="1" applyAlignment="1">
      <alignment horizontal="center" vertical="center"/>
    </xf>
    <xf numFmtId="167" fontId="8" fillId="3" borderId="1" xfId="0" applyNumberFormat="1" applyFont="1" applyFill="1" applyBorder="1" applyAlignment="1">
      <alignment horizontal="center" vertical="center"/>
    </xf>
    <xf numFmtId="0" fontId="0" fillId="2" borderId="0" xfId="0" applyFill="1"/>
    <xf numFmtId="0" fontId="10" fillId="2" borderId="0" xfId="0" applyFont="1" applyFill="1"/>
    <xf numFmtId="11" fontId="8" fillId="3" borderId="1" xfId="0" applyNumberFormat="1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165" fontId="5" fillId="4" borderId="1" xfId="0" applyNumberFormat="1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166" fontId="5" fillId="4" borderId="1" xfId="0" applyNumberFormat="1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165" fontId="5" fillId="5" borderId="1" xfId="0" applyNumberFormat="1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166" fontId="5" fillId="5" borderId="1" xfId="0" applyNumberFormat="1" applyFont="1" applyFill="1" applyBorder="1" applyAlignment="1">
      <alignment horizontal="center" vertical="center"/>
    </xf>
    <xf numFmtId="0" fontId="11" fillId="6" borderId="1" xfId="0" applyFont="1" applyFill="1" applyBorder="1" applyAlignment="1">
      <alignment horizontal="center" vertical="center"/>
    </xf>
    <xf numFmtId="164" fontId="3" fillId="2" borderId="1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67" fontId="13" fillId="6" borderId="1" xfId="0" applyNumberFormat="1" applyFont="1" applyFill="1" applyBorder="1" applyAlignment="1">
      <alignment vertical="center"/>
    </xf>
    <xf numFmtId="167" fontId="13" fillId="2" borderId="0" xfId="0" applyNumberFormat="1" applyFont="1" applyFill="1" applyAlignment="1">
      <alignment vertical="center"/>
    </xf>
    <xf numFmtId="0" fontId="15" fillId="7" borderId="6" xfId="0" applyFont="1" applyFill="1" applyBorder="1" applyAlignment="1">
      <alignment horizontal="center" vertical="center"/>
    </xf>
    <xf numFmtId="0" fontId="15" fillId="7" borderId="7" xfId="0" applyFont="1" applyFill="1" applyBorder="1" applyAlignment="1">
      <alignment horizontal="center" vertical="center"/>
    </xf>
    <xf numFmtId="0" fontId="16" fillId="2" borderId="0" xfId="0" applyFont="1" applyFill="1"/>
    <xf numFmtId="0" fontId="15" fillId="2" borderId="0" xfId="0" applyFont="1" applyFill="1" applyAlignment="1">
      <alignment horizontal="center" vertical="center"/>
    </xf>
    <xf numFmtId="0" fontId="15" fillId="7" borderId="9" xfId="0" applyFont="1" applyFill="1" applyBorder="1" applyAlignment="1">
      <alignment horizontal="center" vertical="center"/>
    </xf>
    <xf numFmtId="0" fontId="14" fillId="2" borderId="7" xfId="0" applyFont="1" applyFill="1" applyBorder="1" applyAlignment="1">
      <alignment horizontal="center"/>
    </xf>
    <xf numFmtId="0" fontId="14" fillId="2" borderId="6" xfId="0" applyFont="1" applyFill="1" applyBorder="1" applyAlignment="1">
      <alignment horizontal="center"/>
    </xf>
    <xf numFmtId="0" fontId="14" fillId="2" borderId="8" xfId="0" applyFont="1" applyFill="1" applyBorder="1" applyAlignment="1">
      <alignment horizontal="center"/>
    </xf>
    <xf numFmtId="164" fontId="3" fillId="2" borderId="0" xfId="0" applyNumberFormat="1" applyFont="1" applyFill="1" applyAlignment="1">
      <alignment horizontal="center" vertical="center"/>
    </xf>
    <xf numFmtId="0" fontId="14" fillId="2" borderId="0" xfId="0" applyFont="1" applyFill="1" applyAlignment="1">
      <alignment horizontal="center"/>
    </xf>
    <xf numFmtId="0" fontId="4" fillId="4" borderId="3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0" fontId="4" fillId="5" borderId="4" xfId="0" applyFont="1" applyFill="1" applyBorder="1" applyAlignment="1">
      <alignment horizontal="center" vertical="center"/>
    </xf>
    <xf numFmtId="0" fontId="4" fillId="5" borderId="5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Onda senoidal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'Consulta Com Taylor'!$B$1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'Consulta Com Taylor'!$A$2:$A$22</c:f>
              <c:numCache>
                <c:formatCode>0.000</c:formatCode>
                <c:ptCount val="21"/>
                <c:pt idx="0">
                  <c:v>0</c:v>
                </c:pt>
                <c:pt idx="1">
                  <c:v>6.9999999999999993E-2</c:v>
                </c:pt>
                <c:pt idx="2">
                  <c:v>0.13999999999999999</c:v>
                </c:pt>
                <c:pt idx="3">
                  <c:v>0.20999999999999996</c:v>
                </c:pt>
                <c:pt idx="4">
                  <c:v>0.27999999999999997</c:v>
                </c:pt>
                <c:pt idx="5">
                  <c:v>0.35</c:v>
                </c:pt>
                <c:pt idx="6">
                  <c:v>0.42</c:v>
                </c:pt>
                <c:pt idx="7">
                  <c:v>0.49</c:v>
                </c:pt>
                <c:pt idx="8">
                  <c:v>0.55999999999999994</c:v>
                </c:pt>
                <c:pt idx="9">
                  <c:v>0.62999999999999989</c:v>
                </c:pt>
                <c:pt idx="10">
                  <c:v>0.69999999999999984</c:v>
                </c:pt>
                <c:pt idx="11">
                  <c:v>0.7699999999999998</c:v>
                </c:pt>
                <c:pt idx="12">
                  <c:v>0.83999999999999975</c:v>
                </c:pt>
                <c:pt idx="13">
                  <c:v>0.9099999999999997</c:v>
                </c:pt>
                <c:pt idx="14">
                  <c:v>0.97999999999999965</c:v>
                </c:pt>
                <c:pt idx="15">
                  <c:v>1.0499999999999996</c:v>
                </c:pt>
                <c:pt idx="16">
                  <c:v>1.1199999999999997</c:v>
                </c:pt>
                <c:pt idx="17">
                  <c:v>1.1899999999999997</c:v>
                </c:pt>
                <c:pt idx="18">
                  <c:v>1.2599999999999998</c:v>
                </c:pt>
                <c:pt idx="19">
                  <c:v>1.3299999999999998</c:v>
                </c:pt>
                <c:pt idx="20">
                  <c:v>1.4</c:v>
                </c:pt>
              </c:numCache>
            </c:numRef>
          </c:xVal>
          <c:yVal>
            <c:numRef>
              <c:f>'Consulta Com Taylor'!$B$2:$B$22</c:f>
              <c:numCache>
                <c:formatCode>0.000</c:formatCode>
                <c:ptCount val="21"/>
                <c:pt idx="0">
                  <c:v>4.9067674289144068E-2</c:v>
                </c:pt>
                <c:pt idx="1">
                  <c:v>-0.54738065690270721</c:v>
                </c:pt>
                <c:pt idx="2">
                  <c:v>-0.93474817999072779</c:v>
                </c:pt>
                <c:pt idx="3">
                  <c:v>-0.96507367915265696</c:v>
                </c:pt>
                <c:pt idx="4">
                  <c:v>-0.62677380900874435</c:v>
                </c:pt>
                <c:pt idx="5">
                  <c:v>-4.9067690922570628E-2</c:v>
                </c:pt>
                <c:pt idx="6">
                  <c:v>0.54738065731130858</c:v>
                </c:pt>
                <c:pt idx="7">
                  <c:v>0.93474818163586471</c:v>
                </c:pt>
                <c:pt idx="8">
                  <c:v>0.96507366719333398</c:v>
                </c:pt>
                <c:pt idx="9">
                  <c:v>0.62677382193376063</c:v>
                </c:pt>
                <c:pt idx="10">
                  <c:v>4.9067674289144068E-2</c:v>
                </c:pt>
                <c:pt idx="11">
                  <c:v>-0.54738065690232673</c:v>
                </c:pt>
                <c:pt idx="12">
                  <c:v>-0.93474817999072779</c:v>
                </c:pt>
                <c:pt idx="13">
                  <c:v>-0.96507367915277598</c:v>
                </c:pt>
                <c:pt idx="14">
                  <c:v>-0.62677380900874435</c:v>
                </c:pt>
                <c:pt idx="15">
                  <c:v>-4.90676909230243E-2</c:v>
                </c:pt>
                <c:pt idx="16">
                  <c:v>0.54738065731130858</c:v>
                </c:pt>
                <c:pt idx="17">
                  <c:v>0.93474818163586471</c:v>
                </c:pt>
                <c:pt idx="18">
                  <c:v>0.96507366719333398</c:v>
                </c:pt>
                <c:pt idx="19">
                  <c:v>0.62677382193411502</c:v>
                </c:pt>
                <c:pt idx="20">
                  <c:v>4.9067674289144068E-2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FE4-4DD4-8533-43842734A1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299407"/>
        <c:axId val="390306127"/>
      </c:scatterChart>
      <c:valAx>
        <c:axId val="390299407"/>
        <c:scaling>
          <c:orientation val="minMax"/>
        </c:scaling>
        <c:delete val="0"/>
        <c:axPos val="b"/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0306127"/>
        <c:crosses val="autoZero"/>
        <c:crossBetween val="midCat"/>
      </c:valAx>
      <c:valAx>
        <c:axId val="390306127"/>
        <c:scaling>
          <c:orientation val="minMax"/>
        </c:scaling>
        <c:delete val="0"/>
        <c:axPos val="l"/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02994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Onda senoidal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Consulta!$B$1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Consulta!$A$2:$A$22</c:f>
              <c:numCache>
                <c:formatCode>0.000</c:formatCode>
                <c:ptCount val="21"/>
                <c:pt idx="0">
                  <c:v>0</c:v>
                </c:pt>
                <c:pt idx="1">
                  <c:v>0.4</c:v>
                </c:pt>
                <c:pt idx="2">
                  <c:v>0.8</c:v>
                </c:pt>
                <c:pt idx="3">
                  <c:v>1.2000000000000002</c:v>
                </c:pt>
                <c:pt idx="4">
                  <c:v>1.6</c:v>
                </c:pt>
                <c:pt idx="5">
                  <c:v>2</c:v>
                </c:pt>
                <c:pt idx="6">
                  <c:v>2.4</c:v>
                </c:pt>
                <c:pt idx="7">
                  <c:v>2.8</c:v>
                </c:pt>
                <c:pt idx="8">
                  <c:v>3.1999999999999997</c:v>
                </c:pt>
                <c:pt idx="9">
                  <c:v>3.5999999999999996</c:v>
                </c:pt>
                <c:pt idx="10">
                  <c:v>3.9999999999999996</c:v>
                </c:pt>
                <c:pt idx="11">
                  <c:v>4.3999999999999995</c:v>
                </c:pt>
                <c:pt idx="12">
                  <c:v>4.8</c:v>
                </c:pt>
                <c:pt idx="13">
                  <c:v>5.2</c:v>
                </c:pt>
                <c:pt idx="14">
                  <c:v>5.6000000000000005</c:v>
                </c:pt>
                <c:pt idx="15">
                  <c:v>6.0000000000000009</c:v>
                </c:pt>
                <c:pt idx="16">
                  <c:v>6.4000000000000012</c:v>
                </c:pt>
                <c:pt idx="17">
                  <c:v>6.8000000000000016</c:v>
                </c:pt>
                <c:pt idx="18">
                  <c:v>7.200000000000002</c:v>
                </c:pt>
                <c:pt idx="19">
                  <c:v>7.6000000000000023</c:v>
                </c:pt>
                <c:pt idx="20">
                  <c:v>8.0000000000000018</c:v>
                </c:pt>
              </c:numCache>
            </c:numRef>
          </c:xVal>
          <c:yVal>
            <c:numRef>
              <c:f>Consulta!$B$2:$B$22</c:f>
              <c:numCache>
                <c:formatCode>0.000</c:formatCode>
                <c:ptCount val="21"/>
                <c:pt idx="0">
                  <c:v>0.9807852804032301</c:v>
                </c:pt>
                <c:pt idx="1">
                  <c:v>0.67880074553292757</c:v>
                </c:pt>
                <c:pt idx="2">
                  <c:v>0.11753739745784322</c:v>
                </c:pt>
                <c:pt idx="3">
                  <c:v>-0.48862124149696551</c:v>
                </c:pt>
                <c:pt idx="4">
                  <c:v>-0.90814317382508192</c:v>
                </c:pt>
                <c:pt idx="5">
                  <c:v>-0.98078528040322943</c:v>
                </c:pt>
                <c:pt idx="6">
                  <c:v>-0.67880074553293546</c:v>
                </c:pt>
                <c:pt idx="7">
                  <c:v>-0.11753739745783982</c:v>
                </c:pt>
                <c:pt idx="8">
                  <c:v>0.48862124149695613</c:v>
                </c:pt>
                <c:pt idx="9">
                  <c:v>0.90814317382508336</c:v>
                </c:pt>
                <c:pt idx="10">
                  <c:v>0.98078528040322877</c:v>
                </c:pt>
                <c:pt idx="11">
                  <c:v>0.67880074553294345</c:v>
                </c:pt>
                <c:pt idx="12">
                  <c:v>0.11753739745783641</c:v>
                </c:pt>
                <c:pt idx="13">
                  <c:v>-0.48862124149695912</c:v>
                </c:pt>
                <c:pt idx="14">
                  <c:v>-0.9081431738250848</c:v>
                </c:pt>
                <c:pt idx="15">
                  <c:v>-0.98078528040323087</c:v>
                </c:pt>
                <c:pt idx="16">
                  <c:v>-0.6788007455329409</c:v>
                </c:pt>
                <c:pt idx="17">
                  <c:v>-0.11753739745783301</c:v>
                </c:pt>
                <c:pt idx="18">
                  <c:v>0.48862124149696212</c:v>
                </c:pt>
                <c:pt idx="19">
                  <c:v>0.90814317382508625</c:v>
                </c:pt>
                <c:pt idx="20">
                  <c:v>0.98078528040323021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297-46E9-8425-D4F4516D8B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299407"/>
        <c:axId val="390306127"/>
      </c:scatterChart>
      <c:valAx>
        <c:axId val="390299407"/>
        <c:scaling>
          <c:orientation val="minMax"/>
        </c:scaling>
        <c:delete val="0"/>
        <c:axPos val="b"/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0306127"/>
        <c:crosses val="autoZero"/>
        <c:crossBetween val="midCat"/>
      </c:valAx>
      <c:valAx>
        <c:axId val="390306127"/>
        <c:scaling>
          <c:orientation val="minMax"/>
        </c:scaling>
        <c:delete val="0"/>
        <c:axPos val="l"/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02994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Comparador!$D$1</c:f>
              <c:strCache>
                <c:ptCount val="1"/>
                <c:pt idx="0">
                  <c:v>y</c:v>
                </c:pt>
              </c:strCache>
            </c:strRef>
          </c:tx>
          <c:marker>
            <c:symbol val="none"/>
          </c:marker>
          <c:xVal>
            <c:numRef>
              <c:f>Comparador!$C$2:$C$22</c:f>
              <c:numCache>
                <c:formatCode>0.000</c:formatCode>
                <c:ptCount val="21"/>
                <c:pt idx="0">
                  <c:v>0</c:v>
                </c:pt>
                <c:pt idx="1">
                  <c:v>0.12</c:v>
                </c:pt>
                <c:pt idx="2">
                  <c:v>0.24</c:v>
                </c:pt>
                <c:pt idx="3">
                  <c:v>0.36</c:v>
                </c:pt>
                <c:pt idx="4">
                  <c:v>0.48</c:v>
                </c:pt>
                <c:pt idx="5">
                  <c:v>0.6</c:v>
                </c:pt>
                <c:pt idx="6">
                  <c:v>0.72</c:v>
                </c:pt>
                <c:pt idx="7">
                  <c:v>0.84</c:v>
                </c:pt>
                <c:pt idx="8">
                  <c:v>0.96</c:v>
                </c:pt>
                <c:pt idx="9">
                  <c:v>1.08</c:v>
                </c:pt>
                <c:pt idx="10">
                  <c:v>1.2000000000000002</c:v>
                </c:pt>
                <c:pt idx="11">
                  <c:v>1.3200000000000003</c:v>
                </c:pt>
                <c:pt idx="12">
                  <c:v>1.4400000000000004</c:v>
                </c:pt>
                <c:pt idx="13">
                  <c:v>1.5600000000000005</c:v>
                </c:pt>
                <c:pt idx="14">
                  <c:v>1.6800000000000006</c:v>
                </c:pt>
                <c:pt idx="15">
                  <c:v>1.8000000000000007</c:v>
                </c:pt>
                <c:pt idx="16">
                  <c:v>1.9200000000000008</c:v>
                </c:pt>
                <c:pt idx="17">
                  <c:v>2.0400000000000009</c:v>
                </c:pt>
                <c:pt idx="18">
                  <c:v>2.160000000000001</c:v>
                </c:pt>
                <c:pt idx="19">
                  <c:v>2.2800000000000011</c:v>
                </c:pt>
                <c:pt idx="20">
                  <c:v>2.4000000000000012</c:v>
                </c:pt>
              </c:numCache>
            </c:numRef>
          </c:xVal>
          <c:yVal>
            <c:numRef>
              <c:f>Comparador!$D$2:$D$22</c:f>
              <c:numCache>
                <c:formatCode>0.000</c:formatCode>
                <c:ptCount val="21"/>
                <c:pt idx="0">
                  <c:v>0.70710678118654213</c:v>
                </c:pt>
                <c:pt idx="1">
                  <c:v>0.15643446504021988</c:v>
                </c:pt>
                <c:pt idx="2">
                  <c:v>-0.45399049973954719</c:v>
                </c:pt>
                <c:pt idx="3">
                  <c:v>-0.89100652418836968</c:v>
                </c:pt>
                <c:pt idx="4">
                  <c:v>-0.98768834059513877</c:v>
                </c:pt>
                <c:pt idx="5">
                  <c:v>-0.70710678118653969</c:v>
                </c:pt>
                <c:pt idx="6">
                  <c:v>-0.15643446504021649</c:v>
                </c:pt>
                <c:pt idx="7">
                  <c:v>0.45399049973955025</c:v>
                </c:pt>
                <c:pt idx="8">
                  <c:v>0.89100652418837123</c:v>
                </c:pt>
                <c:pt idx="9">
                  <c:v>0.98768834059513821</c:v>
                </c:pt>
                <c:pt idx="10">
                  <c:v>0.70710678118654735</c:v>
                </c:pt>
                <c:pt idx="11">
                  <c:v>0.15643446504021311</c:v>
                </c:pt>
                <c:pt idx="12">
                  <c:v>-0.45399049973954064</c:v>
                </c:pt>
                <c:pt idx="13">
                  <c:v>-0.89100652418837278</c:v>
                </c:pt>
                <c:pt idx="14">
                  <c:v>-0.98768834059513544</c:v>
                </c:pt>
                <c:pt idx="15">
                  <c:v>-0.70710678118654491</c:v>
                </c:pt>
                <c:pt idx="16">
                  <c:v>-0.15643446504022376</c:v>
                </c:pt>
                <c:pt idx="17">
                  <c:v>0.4539904997395437</c:v>
                </c:pt>
                <c:pt idx="18">
                  <c:v>0.89100652418837434</c:v>
                </c:pt>
                <c:pt idx="19">
                  <c:v>0.98768834059513499</c:v>
                </c:pt>
                <c:pt idx="20">
                  <c:v>0.70710678118654247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AA0-4335-A1A7-8B2921FA3FF3}"/>
            </c:ext>
          </c:extLst>
        </c:ser>
        <c:ser>
          <c:idx val="0"/>
          <c:order val="1"/>
          <c:tx>
            <c:strRef>
              <c:f>Comparador!$B$1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Comparador!$A$2:$A$22</c:f>
              <c:numCache>
                <c:formatCode>0.000</c:formatCode>
                <c:ptCount val="21"/>
                <c:pt idx="0">
                  <c:v>0</c:v>
                </c:pt>
                <c:pt idx="1">
                  <c:v>0.08</c:v>
                </c:pt>
                <c:pt idx="2">
                  <c:v>0.16</c:v>
                </c:pt>
                <c:pt idx="3">
                  <c:v>0.24</c:v>
                </c:pt>
                <c:pt idx="4">
                  <c:v>0.32</c:v>
                </c:pt>
                <c:pt idx="5">
                  <c:v>0.4</c:v>
                </c:pt>
                <c:pt idx="6">
                  <c:v>0.48000000000000004</c:v>
                </c:pt>
                <c:pt idx="7">
                  <c:v>0.56000000000000005</c:v>
                </c:pt>
                <c:pt idx="8">
                  <c:v>0.64</c:v>
                </c:pt>
                <c:pt idx="9">
                  <c:v>0.72</c:v>
                </c:pt>
                <c:pt idx="10">
                  <c:v>0.79999999999999993</c:v>
                </c:pt>
                <c:pt idx="11">
                  <c:v>0.87999999999999989</c:v>
                </c:pt>
                <c:pt idx="12">
                  <c:v>0.95999999999999985</c:v>
                </c:pt>
                <c:pt idx="13">
                  <c:v>1.0399999999999998</c:v>
                </c:pt>
                <c:pt idx="14">
                  <c:v>1.1199999999999999</c:v>
                </c:pt>
                <c:pt idx="15">
                  <c:v>1.2</c:v>
                </c:pt>
                <c:pt idx="16">
                  <c:v>1.28</c:v>
                </c:pt>
                <c:pt idx="17">
                  <c:v>1.36</c:v>
                </c:pt>
                <c:pt idx="18">
                  <c:v>1.4400000000000002</c:v>
                </c:pt>
                <c:pt idx="19">
                  <c:v>1.5200000000000002</c:v>
                </c:pt>
                <c:pt idx="20">
                  <c:v>1.6000000000000003</c:v>
                </c:pt>
              </c:numCache>
            </c:numRef>
          </c:xVal>
          <c:yVal>
            <c:numRef>
              <c:f>Comparador!$B$2:$B$22</c:f>
              <c:numCache>
                <c:formatCode>0.000</c:formatCode>
                <c:ptCount val="21"/>
                <c:pt idx="0">
                  <c:v>7.8459095727844902E-2</c:v>
                </c:pt>
                <c:pt idx="1">
                  <c:v>-0.52249856471594891</c:v>
                </c:pt>
                <c:pt idx="2">
                  <c:v>-0.92387953251128607</c:v>
                </c:pt>
                <c:pt idx="3">
                  <c:v>-0.97236992039767656</c:v>
                </c:pt>
                <c:pt idx="4">
                  <c:v>-0.64944804833018499</c:v>
                </c:pt>
                <c:pt idx="5">
                  <c:v>-7.8459095727845013E-2</c:v>
                </c:pt>
                <c:pt idx="6">
                  <c:v>0.5224985647159488</c:v>
                </c:pt>
                <c:pt idx="7">
                  <c:v>0.92387953251128674</c:v>
                </c:pt>
                <c:pt idx="8">
                  <c:v>0.972369920397677</c:v>
                </c:pt>
                <c:pt idx="9">
                  <c:v>0.64944804833018444</c:v>
                </c:pt>
                <c:pt idx="10">
                  <c:v>7.8459095727846026E-2</c:v>
                </c:pt>
                <c:pt idx="11">
                  <c:v>-0.52249856471594713</c:v>
                </c:pt>
                <c:pt idx="12">
                  <c:v>-0.92387953251128563</c:v>
                </c:pt>
                <c:pt idx="13">
                  <c:v>-0.97236992039767745</c:v>
                </c:pt>
                <c:pt idx="14">
                  <c:v>-0.64944804833018588</c:v>
                </c:pt>
                <c:pt idx="15">
                  <c:v>-7.8459095727847469E-2</c:v>
                </c:pt>
                <c:pt idx="16">
                  <c:v>0.52249856471594747</c:v>
                </c:pt>
                <c:pt idx="17">
                  <c:v>0.92387953251128629</c:v>
                </c:pt>
                <c:pt idx="18">
                  <c:v>0.97236992039767678</c:v>
                </c:pt>
                <c:pt idx="19">
                  <c:v>0.64944804833018388</c:v>
                </c:pt>
                <c:pt idx="20">
                  <c:v>7.8459095727843264E-2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AA0-4335-A1A7-8B2921FA3F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7402783"/>
        <c:axId val="1187406143"/>
      </c:scatterChart>
      <c:valAx>
        <c:axId val="11874027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87406143"/>
        <c:crosses val="autoZero"/>
        <c:crossBetween val="midCat"/>
      </c:valAx>
      <c:valAx>
        <c:axId val="11874061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87402783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1.png"/><Relationship Id="rId1" Type="http://schemas.openxmlformats.org/officeDocument/2006/relationships/chart" Target="../charts/chart2.xml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9523</xdr:colOff>
      <xdr:row>0</xdr:row>
      <xdr:rowOff>0</xdr:rowOff>
    </xdr:from>
    <xdr:to>
      <xdr:col>20</xdr:col>
      <xdr:colOff>409574</xdr:colOff>
      <xdr:row>33</xdr:row>
      <xdr:rowOff>76200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389BD4D-19EC-4367-82F0-BBEE3B3014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20</xdr:col>
      <xdr:colOff>571500</xdr:colOff>
      <xdr:row>7</xdr:row>
      <xdr:rowOff>133350</xdr:rowOff>
    </xdr:from>
    <xdr:to>
      <xdr:col>22</xdr:col>
      <xdr:colOff>46417</xdr:colOff>
      <xdr:row>12</xdr:row>
      <xdr:rowOff>182405</xdr:rowOff>
    </xdr:to>
    <xdr:pic macro="[0]!AtualizarTEmTempoReal">
      <xdr:nvPicPr>
        <xdr:cNvPr id="3" name="Imagem 2">
          <a:extLst>
            <a:ext uri="{FF2B5EF4-FFF2-40B4-BE49-F238E27FC236}">
              <a16:creationId xmlns:a16="http://schemas.microsoft.com/office/drawing/2014/main" id="{35EC6CAE-7BC3-497C-8CEE-1BB611339D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15850" y="1962150"/>
          <a:ext cx="1332292" cy="1049180"/>
        </a:xfrm>
        <a:prstGeom prst="rect">
          <a:avLst/>
        </a:prstGeom>
      </xdr:spPr>
    </xdr:pic>
    <xdr:clientData/>
  </xdr:twoCellAnchor>
  <xdr:twoCellAnchor editAs="oneCell">
    <xdr:from>
      <xdr:col>20</xdr:col>
      <xdr:colOff>561976</xdr:colOff>
      <xdr:row>15</xdr:row>
      <xdr:rowOff>180976</xdr:rowOff>
    </xdr:from>
    <xdr:to>
      <xdr:col>22</xdr:col>
      <xdr:colOff>47171</xdr:colOff>
      <xdr:row>21</xdr:row>
      <xdr:rowOff>38100</xdr:rowOff>
    </xdr:to>
    <xdr:pic macro="[0]!abrirForm2">
      <xdr:nvPicPr>
        <xdr:cNvPr id="5" name="Imagem 4">
          <a:extLst>
            <a:ext uri="{FF2B5EF4-FFF2-40B4-BE49-F238E27FC236}">
              <a16:creationId xmlns:a16="http://schemas.microsoft.com/office/drawing/2014/main" id="{F79A71CF-2E0C-4650-80A6-4FC3FA98F2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6" y="3609976"/>
          <a:ext cx="1342570" cy="105727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19049</xdr:colOff>
      <xdr:row>0</xdr:row>
      <xdr:rowOff>0</xdr:rowOff>
    </xdr:from>
    <xdr:to>
      <xdr:col>20</xdr:col>
      <xdr:colOff>380999</xdr:colOff>
      <xdr:row>33</xdr:row>
      <xdr:rowOff>76200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C68BECF-CDF1-4D38-AEBE-4A85F7BCA3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20</xdr:col>
      <xdr:colOff>571500</xdr:colOff>
      <xdr:row>7</xdr:row>
      <xdr:rowOff>133350</xdr:rowOff>
    </xdr:from>
    <xdr:to>
      <xdr:col>22</xdr:col>
      <xdr:colOff>46417</xdr:colOff>
      <xdr:row>12</xdr:row>
      <xdr:rowOff>182405</xdr:rowOff>
    </xdr:to>
    <xdr:pic macro="[0]!AtualizarTEmTempoReal">
      <xdr:nvPicPr>
        <xdr:cNvPr id="3" name="Imagem 2">
          <a:extLst>
            <a:ext uri="{FF2B5EF4-FFF2-40B4-BE49-F238E27FC236}">
              <a16:creationId xmlns:a16="http://schemas.microsoft.com/office/drawing/2014/main" id="{8B8B62ED-9D6C-4DCE-BBB5-4CD983BED6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15850" y="1952625"/>
          <a:ext cx="1332292" cy="1049180"/>
        </a:xfrm>
        <a:prstGeom prst="rect">
          <a:avLst/>
        </a:prstGeom>
      </xdr:spPr>
    </xdr:pic>
    <xdr:clientData/>
  </xdr:twoCellAnchor>
  <xdr:twoCellAnchor editAs="oneCell">
    <xdr:from>
      <xdr:col>20</xdr:col>
      <xdr:colOff>571501</xdr:colOff>
      <xdr:row>16</xdr:row>
      <xdr:rowOff>1</xdr:rowOff>
    </xdr:from>
    <xdr:to>
      <xdr:col>22</xdr:col>
      <xdr:colOff>44602</xdr:colOff>
      <xdr:row>21</xdr:row>
      <xdr:rowOff>47626</xdr:rowOff>
    </xdr:to>
    <xdr:pic macro="[0]!abrirForm">
      <xdr:nvPicPr>
        <xdr:cNvPr id="7" name="Imagem 6">
          <a:extLst>
            <a:ext uri="{FF2B5EF4-FFF2-40B4-BE49-F238E27FC236}">
              <a16:creationId xmlns:a16="http://schemas.microsoft.com/office/drawing/2014/main" id="{1E1593F0-2F4A-C818-FBDA-E47C378665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15851" y="3609976"/>
          <a:ext cx="1330476" cy="1047750"/>
        </a:xfrm>
        <a:prstGeom prst="rect">
          <a:avLst/>
        </a:prstGeom>
      </xdr:spPr>
    </xdr:pic>
    <xdr:clientData/>
  </xdr:twoCellAnchor>
  <xdr:twoCellAnchor editAs="oneCell">
    <xdr:from>
      <xdr:col>20</xdr:col>
      <xdr:colOff>561976</xdr:colOff>
      <xdr:row>23</xdr:row>
      <xdr:rowOff>190501</xdr:rowOff>
    </xdr:from>
    <xdr:to>
      <xdr:col>22</xdr:col>
      <xdr:colOff>47171</xdr:colOff>
      <xdr:row>29</xdr:row>
      <xdr:rowOff>47625</xdr:rowOff>
    </xdr:to>
    <xdr:pic macro="[0]!abrirForm2">
      <xdr:nvPicPr>
        <xdr:cNvPr id="13" name="Imagem 12">
          <a:extLst>
            <a:ext uri="{FF2B5EF4-FFF2-40B4-BE49-F238E27FC236}">
              <a16:creationId xmlns:a16="http://schemas.microsoft.com/office/drawing/2014/main" id="{8768A0DC-9FD2-FCFA-797A-9FC6E958A4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6" y="5191126"/>
          <a:ext cx="1342570" cy="105727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72874</xdr:colOff>
      <xdr:row>14</xdr:row>
      <xdr:rowOff>161924</xdr:rowOff>
    </xdr:from>
    <xdr:to>
      <xdr:col>22</xdr:col>
      <xdr:colOff>934514</xdr:colOff>
      <xdr:row>21</xdr:row>
      <xdr:rowOff>77037</xdr:rowOff>
    </xdr:to>
    <xdr:pic macro="[0]!AtualizarTEmTempoRealComparadorDeOndas">
      <xdr:nvPicPr>
        <xdr:cNvPr id="3" name="Imagem 2">
          <a:extLst>
            <a:ext uri="{FF2B5EF4-FFF2-40B4-BE49-F238E27FC236}">
              <a16:creationId xmlns:a16="http://schemas.microsoft.com/office/drawing/2014/main" id="{FDE310CE-0041-49E2-82E1-8798B9B65A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22099" y="3590924"/>
          <a:ext cx="1585540" cy="1248613"/>
        </a:xfrm>
        <a:prstGeom prst="rect">
          <a:avLst/>
        </a:prstGeom>
      </xdr:spPr>
    </xdr:pic>
    <xdr:clientData/>
  </xdr:twoCellAnchor>
  <xdr:twoCellAnchor>
    <xdr:from>
      <xdr:col>4</xdr:col>
      <xdr:colOff>600075</xdr:colOff>
      <xdr:row>0</xdr:row>
      <xdr:rowOff>14286</xdr:rowOff>
    </xdr:from>
    <xdr:to>
      <xdr:col>20</xdr:col>
      <xdr:colOff>9525</xdr:colOff>
      <xdr:row>32</xdr:row>
      <xdr:rowOff>171449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9170729C-4749-36C2-25D7-1BF22289697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DE52E3-3BE7-476B-9E8B-D72600BD0F98}">
  <sheetPr codeName="Planilha4"/>
  <dimension ref="A1:AB104"/>
  <sheetViews>
    <sheetView tabSelected="1" workbookViewId="0">
      <selection activeCell="W18" sqref="W18"/>
    </sheetView>
  </sheetViews>
  <sheetFormatPr defaultRowHeight="15" x14ac:dyDescent="0.25"/>
  <cols>
    <col min="1" max="1" width="8.28515625" style="2" bestFit="1" customWidth="1"/>
    <col min="2" max="3" width="7.7109375" style="2" customWidth="1"/>
    <col min="22" max="22" width="18.7109375" customWidth="1"/>
    <col min="23" max="23" width="20.140625" bestFit="1" customWidth="1"/>
    <col min="24" max="24" width="7.42578125" bestFit="1" customWidth="1"/>
    <col min="25" max="25" width="9.85546875" bestFit="1" customWidth="1"/>
  </cols>
  <sheetData>
    <row r="1" spans="1:28" ht="20.25" x14ac:dyDescent="0.25">
      <c r="A1" s="23" t="s">
        <v>1</v>
      </c>
      <c r="B1" s="23" t="s">
        <v>2</v>
      </c>
      <c r="C1" s="23" t="s">
        <v>3</v>
      </c>
      <c r="D1" s="10"/>
      <c r="E1" s="10"/>
      <c r="F1" s="10"/>
      <c r="G1" s="10"/>
      <c r="H1" s="29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4" t="s">
        <v>0</v>
      </c>
      <c r="W1" s="5">
        <v>1</v>
      </c>
      <c r="X1" s="10"/>
      <c r="Y1" s="10"/>
      <c r="Z1" s="10"/>
      <c r="AA1" s="10"/>
      <c r="AB1" s="10"/>
    </row>
    <row r="2" spans="1:28" ht="23.25" x14ac:dyDescent="0.25">
      <c r="A2" s="22">
        <v>0</v>
      </c>
      <c r="B2" s="22" cm="1">
        <f t="array" ref="B2">IFERROR(TAYLOR(2*PI()*($W$2*C2-A2/$W$3), $W$5),0)</f>
        <v>4.9067674289144068E-2</v>
      </c>
      <c r="C2" s="24">
        <v>7.0390625</v>
      </c>
      <c r="D2" s="10"/>
      <c r="E2" s="10"/>
      <c r="F2" s="10"/>
      <c r="G2" s="10"/>
      <c r="H2" s="29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5" t="s">
        <v>4</v>
      </c>
      <c r="W2" s="6">
        <v>77</v>
      </c>
      <c r="X2" s="10"/>
      <c r="Y2" s="10"/>
      <c r="Z2" s="10"/>
      <c r="AA2" s="10"/>
      <c r="AB2" s="10"/>
    </row>
    <row r="3" spans="1:28" ht="23.25" x14ac:dyDescent="0.25">
      <c r="A3" s="22">
        <f>$W$3/10</f>
        <v>6.9999999999999993E-2</v>
      </c>
      <c r="B3" s="22" cm="1">
        <f t="array" ref="B3">IFERROR(TAYLOR(2*PI()*($W$2*C3-A3/$W$3), $W$5),0)</f>
        <v>-0.54738065690270721</v>
      </c>
      <c r="C3" s="24">
        <v>7.0390625</v>
      </c>
      <c r="D3" s="10"/>
      <c r="E3" s="10"/>
      <c r="F3" s="10"/>
      <c r="G3" s="10"/>
      <c r="H3" s="29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7" t="s">
        <v>5</v>
      </c>
      <c r="W3" s="8">
        <v>0.7</v>
      </c>
      <c r="X3" s="10"/>
      <c r="Y3" s="10"/>
      <c r="Z3" s="10"/>
      <c r="AA3" s="10"/>
      <c r="AB3" s="10"/>
    </row>
    <row r="4" spans="1:28" ht="23.25" x14ac:dyDescent="0.25">
      <c r="A4" s="22">
        <f>A3+$A$3</f>
        <v>0.13999999999999999</v>
      </c>
      <c r="B4" s="22" cm="1">
        <f t="array" ref="B4">IFERROR(TAYLOR(2*PI()*($W$2*C4-A4/$W$3), $W$5),0)</f>
        <v>-0.93474817999072779</v>
      </c>
      <c r="C4" s="24">
        <v>7.0390625</v>
      </c>
      <c r="D4" s="10"/>
      <c r="E4" s="10"/>
      <c r="F4" s="10"/>
      <c r="G4" s="10"/>
      <c r="H4" s="29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5" t="s">
        <v>6</v>
      </c>
      <c r="W4" s="9">
        <v>7</v>
      </c>
      <c r="X4" s="10"/>
      <c r="Y4" s="10"/>
      <c r="Z4" s="10"/>
      <c r="AA4" s="10"/>
      <c r="AB4" s="10"/>
    </row>
    <row r="5" spans="1:28" ht="23.25" x14ac:dyDescent="0.25">
      <c r="A5" s="22">
        <f t="shared" ref="A5:A22" si="0">A4+$A$3</f>
        <v>0.20999999999999996</v>
      </c>
      <c r="B5" s="22" cm="1">
        <f t="array" ref="B5">IFERROR(TAYLOR(2*PI()*($W$2*C5-A5/$W$3), $W$5),0)</f>
        <v>-0.96507367915265696</v>
      </c>
      <c r="C5" s="24">
        <v>7.0390625</v>
      </c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5" t="s">
        <v>7</v>
      </c>
      <c r="W5" s="12">
        <v>6.9999999999999997E-7</v>
      </c>
      <c r="X5" s="10"/>
      <c r="Y5" s="10"/>
      <c r="Z5" s="10"/>
      <c r="AA5" s="10"/>
      <c r="AB5" s="10"/>
    </row>
    <row r="6" spans="1:28" ht="15.75" thickBot="1" x14ac:dyDescent="0.3">
      <c r="A6" s="22">
        <f t="shared" si="0"/>
        <v>0.27999999999999997</v>
      </c>
      <c r="B6" s="22" cm="1">
        <f t="array" ref="B6">IFERROR(TAYLOR(2*PI()*($W$2*C6-A6/$W$3), $W$5),0)</f>
        <v>-0.62677380900874435</v>
      </c>
      <c r="C6" s="24">
        <v>7.0390625</v>
      </c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</row>
    <row r="7" spans="1:28" x14ac:dyDescent="0.25">
      <c r="A7" s="22">
        <f t="shared" si="0"/>
        <v>0.35</v>
      </c>
      <c r="B7" s="22" cm="1">
        <f t="array" ref="B7">IFERROR(TAYLOR(2*PI()*($W$2*C7-A7/$W$3), $W$5),0)</f>
        <v>-4.9067690922570628E-2</v>
      </c>
      <c r="C7" s="24">
        <v>7.0390625</v>
      </c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27" t="s">
        <v>11</v>
      </c>
      <c r="W7" s="10"/>
      <c r="X7" s="10"/>
      <c r="Y7" s="10"/>
      <c r="Z7" s="10"/>
      <c r="AA7" s="10"/>
      <c r="AB7" s="10"/>
    </row>
    <row r="8" spans="1:28" ht="15.75" customHeight="1" x14ac:dyDescent="0.25">
      <c r="A8" s="22">
        <f t="shared" si="0"/>
        <v>0.42</v>
      </c>
      <c r="B8" s="22" cm="1">
        <f t="array" ref="B8">IFERROR(TAYLOR(2*PI()*($W$2*C8-A8/$W$3), $W$5),0)</f>
        <v>0.54738065731130858</v>
      </c>
      <c r="C8" s="24">
        <v>7.0390625</v>
      </c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32"/>
      <c r="W8" s="10"/>
      <c r="X8" s="10"/>
      <c r="Y8" s="10"/>
      <c r="Z8" s="10"/>
      <c r="AA8" s="10"/>
      <c r="AB8" s="10"/>
    </row>
    <row r="9" spans="1:28" ht="15.75" customHeight="1" x14ac:dyDescent="0.25">
      <c r="A9" s="22">
        <f t="shared" si="0"/>
        <v>0.49</v>
      </c>
      <c r="B9" s="22" cm="1">
        <f t="array" ref="B9">IFERROR(TAYLOR(2*PI()*($W$2*C9-A9/$W$3), $W$5),0)</f>
        <v>0.93474818163586471</v>
      </c>
      <c r="C9" s="24">
        <v>7.0390625</v>
      </c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32"/>
      <c r="W9" s="10"/>
      <c r="X9" s="10"/>
      <c r="Y9" s="10"/>
      <c r="Z9" s="10"/>
      <c r="AA9" s="10"/>
      <c r="AB9" s="10"/>
    </row>
    <row r="10" spans="1:28" ht="15.75" customHeight="1" x14ac:dyDescent="0.25">
      <c r="A10" s="22">
        <f t="shared" si="0"/>
        <v>0.55999999999999994</v>
      </c>
      <c r="B10" s="22" cm="1">
        <f t="array" ref="B10">IFERROR(TAYLOR(2*PI()*($W$2*C10-A10/$W$3), $W$5),0)</f>
        <v>0.96507366719333398</v>
      </c>
      <c r="C10" s="24">
        <v>7.0390625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32"/>
      <c r="W10" s="10"/>
      <c r="X10" s="10"/>
      <c r="Y10" s="10"/>
      <c r="Z10" s="10"/>
      <c r="AA10" s="10"/>
      <c r="AB10" s="10"/>
    </row>
    <row r="11" spans="1:28" ht="15.75" customHeight="1" x14ac:dyDescent="0.25">
      <c r="A11" s="22">
        <f t="shared" si="0"/>
        <v>0.62999999999999989</v>
      </c>
      <c r="B11" s="22" cm="1">
        <f t="array" ref="B11">IFERROR(TAYLOR(2*PI()*($W$2*C11-A11/$W$3), $W$5),0)</f>
        <v>0.62677382193376063</v>
      </c>
      <c r="C11" s="24">
        <v>7.0390625</v>
      </c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32"/>
      <c r="W11" s="10"/>
      <c r="X11" s="10"/>
      <c r="Y11" s="10"/>
      <c r="Z11" s="10"/>
      <c r="AA11" s="10"/>
      <c r="AB11" s="10"/>
    </row>
    <row r="12" spans="1:28" ht="15.75" customHeight="1" x14ac:dyDescent="0.25">
      <c r="A12" s="22">
        <f t="shared" si="0"/>
        <v>0.69999999999999984</v>
      </c>
      <c r="B12" s="22" cm="1">
        <f t="array" ref="B12">IFERROR(TAYLOR(2*PI()*($W$2*C12-A12/$W$3), $W$5),0)</f>
        <v>4.9067674289144068E-2</v>
      </c>
      <c r="C12" s="24">
        <v>7.0390625</v>
      </c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32"/>
      <c r="W12" s="10"/>
      <c r="X12" s="10"/>
      <c r="Y12" s="10"/>
      <c r="Z12" s="10"/>
      <c r="AA12" s="10"/>
      <c r="AB12" s="10"/>
    </row>
    <row r="13" spans="1:28" ht="15.75" customHeight="1" x14ac:dyDescent="0.25">
      <c r="A13" s="22">
        <f t="shared" si="0"/>
        <v>0.7699999999999998</v>
      </c>
      <c r="B13" s="22" cm="1">
        <f t="array" ref="B13">IFERROR(TAYLOR(2*PI()*($W$2*C13-A13/$W$3), $W$5),0)</f>
        <v>-0.54738065690232673</v>
      </c>
      <c r="C13" s="24">
        <v>7.0390625</v>
      </c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32"/>
      <c r="W13" s="10"/>
      <c r="X13" s="10"/>
      <c r="Y13" s="10"/>
      <c r="Z13" s="10"/>
      <c r="AA13" s="10"/>
      <c r="AB13" s="10"/>
    </row>
    <row r="14" spans="1:28" ht="15.75" customHeight="1" x14ac:dyDescent="0.25">
      <c r="A14" s="22">
        <f t="shared" si="0"/>
        <v>0.83999999999999975</v>
      </c>
      <c r="B14" s="22" cm="1">
        <f t="array" ref="B14">IFERROR(TAYLOR(2*PI()*($W$2*C14-A14/$W$3), $W$5),0)</f>
        <v>-0.93474817999072779</v>
      </c>
      <c r="C14" s="24">
        <v>7.0390625</v>
      </c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32"/>
      <c r="W14" s="10"/>
      <c r="X14" s="10"/>
      <c r="Y14" s="10"/>
      <c r="Z14" s="10"/>
      <c r="AA14" s="10"/>
      <c r="AB14" s="10"/>
    </row>
    <row r="15" spans="1:28" ht="15.75" thickBot="1" x14ac:dyDescent="0.3">
      <c r="A15" s="22">
        <f t="shared" si="0"/>
        <v>0.9099999999999997</v>
      </c>
      <c r="B15" s="22" cm="1">
        <f t="array" ref="B15">IFERROR(TAYLOR(2*PI()*($W$2*C15-A15/$W$3), $W$5),0)</f>
        <v>-0.96507367915277598</v>
      </c>
      <c r="C15" s="24">
        <v>7.0390625</v>
      </c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31" t="s">
        <v>13</v>
      </c>
      <c r="W15" s="10"/>
      <c r="X15" s="10"/>
      <c r="Y15" s="10"/>
      <c r="Z15" s="10"/>
      <c r="AA15" s="10"/>
      <c r="AB15" s="10"/>
    </row>
    <row r="16" spans="1:28" ht="15.75" customHeight="1" x14ac:dyDescent="0.25">
      <c r="A16" s="22">
        <f t="shared" si="0"/>
        <v>0.97999999999999965</v>
      </c>
      <c r="B16" s="22" cm="1">
        <f t="array" ref="B16">IFERROR(TAYLOR(2*PI()*($W$2*C16-A16/$W$3), $W$5),0)</f>
        <v>-0.62677380900874435</v>
      </c>
      <c r="C16" s="24">
        <v>7.0390625</v>
      </c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33"/>
      <c r="W16" s="11"/>
      <c r="X16" s="10"/>
      <c r="Y16" s="10"/>
      <c r="Z16" s="10"/>
      <c r="AA16" s="10"/>
      <c r="AB16" s="10"/>
    </row>
    <row r="17" spans="1:28" ht="15.75" customHeight="1" x14ac:dyDescent="0.25">
      <c r="A17" s="22">
        <f t="shared" si="0"/>
        <v>1.0499999999999996</v>
      </c>
      <c r="B17" s="22" cm="1">
        <f t="array" ref="B17">IFERROR(TAYLOR(2*PI()*($W$2*C17-A17/$W$3), $W$5),0)</f>
        <v>-4.90676909230243E-2</v>
      </c>
      <c r="C17" s="24">
        <v>7.0390625</v>
      </c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32"/>
      <c r="W17" s="10"/>
      <c r="X17" s="10"/>
      <c r="Y17" s="10"/>
      <c r="Z17" s="10"/>
      <c r="AA17" s="10"/>
      <c r="AB17" s="10"/>
    </row>
    <row r="18" spans="1:28" ht="15.75" customHeight="1" x14ac:dyDescent="0.25">
      <c r="A18" s="22">
        <f t="shared" si="0"/>
        <v>1.1199999999999997</v>
      </c>
      <c r="B18" s="22" cm="1">
        <f t="array" ref="B18">IFERROR(TAYLOR(2*PI()*($W$2*C18-A18/$W$3), $W$5),0)</f>
        <v>0.54738065731130858</v>
      </c>
      <c r="C18" s="24">
        <v>7.0390625</v>
      </c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32"/>
      <c r="W18" s="10"/>
      <c r="X18" s="10"/>
      <c r="Y18" s="10"/>
      <c r="Z18" s="10"/>
      <c r="AA18" s="10"/>
      <c r="AB18" s="10"/>
    </row>
    <row r="19" spans="1:28" ht="15.75" customHeight="1" x14ac:dyDescent="0.25">
      <c r="A19" s="22">
        <f t="shared" si="0"/>
        <v>1.1899999999999997</v>
      </c>
      <c r="B19" s="22" cm="1">
        <f t="array" ref="B19">IFERROR(TAYLOR(2*PI()*($W$2*C19-A19/$W$3), $W$5),0)</f>
        <v>0.93474818163586471</v>
      </c>
      <c r="C19" s="24">
        <v>7.0390625</v>
      </c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32"/>
      <c r="W19" s="10"/>
      <c r="X19" s="10"/>
      <c r="Y19" s="10"/>
      <c r="Z19" s="10"/>
      <c r="AA19" s="10"/>
      <c r="AB19" s="10"/>
    </row>
    <row r="20" spans="1:28" ht="15.75" customHeight="1" x14ac:dyDescent="0.25">
      <c r="A20" s="22">
        <f t="shared" si="0"/>
        <v>1.2599999999999998</v>
      </c>
      <c r="B20" s="22" cm="1">
        <f t="array" ref="B20">IFERROR(TAYLOR(2*PI()*($W$2*C20-A20/$W$3), $W$5),0)</f>
        <v>0.96507366719333398</v>
      </c>
      <c r="C20" s="24">
        <v>7.0390625</v>
      </c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32"/>
      <c r="W20" s="10"/>
      <c r="X20" s="10"/>
      <c r="Y20" s="10"/>
      <c r="Z20" s="10"/>
      <c r="AA20" s="10"/>
      <c r="AB20" s="10"/>
    </row>
    <row r="21" spans="1:28" ht="15.75" customHeight="1" x14ac:dyDescent="0.25">
      <c r="A21" s="22">
        <f t="shared" si="0"/>
        <v>1.3299999999999998</v>
      </c>
      <c r="B21" s="22" cm="1">
        <f t="array" ref="B21">IFERROR(TAYLOR(2*PI()*($W$2*C21-A21/$W$3), $W$5),0)</f>
        <v>0.62677382193411502</v>
      </c>
      <c r="C21" s="24">
        <v>7.0390625</v>
      </c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32"/>
      <c r="W21" s="10"/>
      <c r="X21" s="10"/>
      <c r="Y21" s="10"/>
      <c r="Z21" s="10"/>
      <c r="AA21" s="10"/>
      <c r="AB21" s="10"/>
    </row>
    <row r="22" spans="1:28" ht="15.75" customHeight="1" thickBot="1" x14ac:dyDescent="0.3">
      <c r="A22" s="22">
        <f t="shared" si="0"/>
        <v>1.4</v>
      </c>
      <c r="B22" s="22" cm="1">
        <f t="array" ref="B22">IFERROR(TAYLOR(2*PI()*($W$2*C22-A22/$W$3), $W$5),0)</f>
        <v>4.9067674289144068E-2</v>
      </c>
      <c r="C22" s="24">
        <v>7.0390625</v>
      </c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34"/>
      <c r="W22" s="10"/>
      <c r="X22" s="10"/>
      <c r="Y22" s="10"/>
      <c r="Z22" s="10"/>
      <c r="AA22" s="10"/>
      <c r="AB22" s="10"/>
    </row>
    <row r="23" spans="1:28" x14ac:dyDescent="0.25">
      <c r="A23" s="35"/>
      <c r="B23" s="35"/>
      <c r="C23" s="35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30"/>
      <c r="W23" s="10"/>
      <c r="X23" s="10"/>
      <c r="Y23" s="10"/>
      <c r="Z23" s="10"/>
      <c r="AA23" s="10"/>
      <c r="AB23" s="10"/>
    </row>
    <row r="24" spans="1:28" ht="15.75" customHeight="1" x14ac:dyDescent="0.25">
      <c r="A24" s="35"/>
      <c r="B24" s="35"/>
      <c r="C24" s="3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36"/>
      <c r="W24" s="10"/>
      <c r="X24" s="10"/>
      <c r="Y24" s="10"/>
      <c r="Z24" s="10"/>
      <c r="AA24" s="10"/>
      <c r="AB24" s="10"/>
    </row>
    <row r="25" spans="1:28" ht="15.75" customHeight="1" x14ac:dyDescent="0.25">
      <c r="A25" s="1"/>
      <c r="B25" s="1"/>
      <c r="C25" s="1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36"/>
      <c r="W25" s="10"/>
      <c r="X25" s="10"/>
      <c r="Y25" s="10"/>
      <c r="Z25" s="10"/>
      <c r="AA25" s="10"/>
      <c r="AB25" s="10"/>
    </row>
    <row r="26" spans="1:28" ht="15.75" customHeight="1" x14ac:dyDescent="0.25">
      <c r="A26" s="1"/>
      <c r="B26" s="1"/>
      <c r="C26" s="1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36"/>
      <c r="W26" s="10"/>
      <c r="X26" s="10"/>
      <c r="Y26" s="10"/>
      <c r="Z26" s="10"/>
      <c r="AA26" s="10"/>
      <c r="AB26" s="10"/>
    </row>
    <row r="27" spans="1:28" ht="15.75" customHeight="1" x14ac:dyDescent="0.25">
      <c r="A27" s="1"/>
      <c r="B27" s="1"/>
      <c r="C27" s="1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36"/>
      <c r="W27" s="10"/>
      <c r="X27" s="10"/>
      <c r="Y27" s="10"/>
      <c r="Z27" s="10"/>
      <c r="AA27" s="10"/>
      <c r="AB27" s="10"/>
    </row>
    <row r="28" spans="1:28" ht="15.75" customHeight="1" x14ac:dyDescent="0.25">
      <c r="A28" s="1"/>
      <c r="B28" s="1"/>
      <c r="C28" s="1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36"/>
      <c r="W28" s="10"/>
      <c r="X28" s="10"/>
      <c r="Y28" s="10"/>
      <c r="Z28" s="10"/>
      <c r="AA28" s="10"/>
      <c r="AB28" s="10"/>
    </row>
    <row r="29" spans="1:28" ht="15.75" customHeight="1" x14ac:dyDescent="0.25">
      <c r="A29" s="1"/>
      <c r="B29" s="1"/>
      <c r="C29" s="1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36"/>
      <c r="W29" s="10"/>
      <c r="X29" s="10"/>
      <c r="Y29" s="10"/>
      <c r="Z29" s="10"/>
      <c r="AA29" s="10"/>
      <c r="AB29" s="10"/>
    </row>
    <row r="30" spans="1:28" x14ac:dyDescent="0.25">
      <c r="A30" s="1"/>
      <c r="B30" s="1"/>
      <c r="C30" s="1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36"/>
      <c r="W30" s="10"/>
      <c r="X30" s="10"/>
      <c r="Y30" s="10"/>
      <c r="Z30" s="10"/>
      <c r="AA30" s="10"/>
      <c r="AB30" s="10"/>
    </row>
    <row r="31" spans="1:28" x14ac:dyDescent="0.25">
      <c r="A31" s="1"/>
      <c r="B31" s="1"/>
      <c r="C31" s="1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</row>
    <row r="32" spans="1:28" x14ac:dyDescent="0.25">
      <c r="A32" s="1"/>
      <c r="B32" s="1"/>
      <c r="C32" s="1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</row>
    <row r="33" spans="1:28" x14ac:dyDescent="0.25">
      <c r="A33" s="1"/>
      <c r="B33" s="1"/>
      <c r="C33" s="1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</row>
    <row r="34" spans="1:28" x14ac:dyDescent="0.25">
      <c r="A34" s="1"/>
      <c r="B34" s="1"/>
      <c r="C34" s="1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</row>
    <row r="35" spans="1:28" x14ac:dyDescent="0.25">
      <c r="A35" s="1"/>
      <c r="B35" s="1"/>
      <c r="C35" s="1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</row>
    <row r="36" spans="1:28" x14ac:dyDescent="0.25">
      <c r="A36" s="1"/>
      <c r="B36" s="1"/>
      <c r="C36" s="1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</row>
    <row r="37" spans="1:28" x14ac:dyDescent="0.25">
      <c r="A37" s="1"/>
      <c r="B37" s="1"/>
      <c r="C37" s="1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</row>
    <row r="38" spans="1:28" x14ac:dyDescent="0.25">
      <c r="A38" s="1"/>
      <c r="B38" s="1"/>
      <c r="C38" s="1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</row>
    <row r="39" spans="1:28" x14ac:dyDescent="0.25">
      <c r="A39" s="1"/>
      <c r="B39" s="1"/>
      <c r="C39" s="1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</row>
    <row r="40" spans="1:28" x14ac:dyDescent="0.25">
      <c r="A40" s="1"/>
      <c r="B40" s="1"/>
      <c r="C40" s="1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</row>
    <row r="41" spans="1:28" x14ac:dyDescent="0.25">
      <c r="A41" s="1"/>
      <c r="B41" s="1"/>
      <c r="C41" s="1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</row>
    <row r="42" spans="1:28" x14ac:dyDescent="0.25">
      <c r="A42" s="1"/>
      <c r="B42" s="1"/>
      <c r="C42" s="1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</row>
    <row r="43" spans="1:28" x14ac:dyDescent="0.25">
      <c r="A43" s="1"/>
      <c r="B43" s="1"/>
      <c r="C43" s="1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</row>
    <row r="44" spans="1:28" x14ac:dyDescent="0.25">
      <c r="A44" s="1"/>
      <c r="B44" s="1"/>
      <c r="C44" s="1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</row>
    <row r="45" spans="1:28" x14ac:dyDescent="0.25">
      <c r="A45" s="1"/>
      <c r="B45" s="1"/>
      <c r="C45" s="1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</row>
    <row r="46" spans="1:28" x14ac:dyDescent="0.25">
      <c r="A46" s="1"/>
      <c r="B46" s="1"/>
      <c r="C46" s="1"/>
    </row>
    <row r="47" spans="1:28" x14ac:dyDescent="0.25">
      <c r="A47" s="1"/>
      <c r="B47" s="1"/>
      <c r="C47" s="1"/>
    </row>
    <row r="48" spans="1:28" x14ac:dyDescent="0.25">
      <c r="A48" s="1"/>
      <c r="B48" s="1"/>
      <c r="C48" s="1"/>
    </row>
    <row r="49" spans="1:3" x14ac:dyDescent="0.25">
      <c r="A49" s="1"/>
      <c r="B49" s="1"/>
      <c r="C49" s="1"/>
    </row>
    <row r="50" spans="1:3" x14ac:dyDescent="0.25">
      <c r="A50" s="1"/>
      <c r="B50" s="1"/>
      <c r="C50" s="1"/>
    </row>
    <row r="51" spans="1:3" x14ac:dyDescent="0.25">
      <c r="A51" s="1"/>
      <c r="B51" s="1"/>
      <c r="C51" s="1"/>
    </row>
    <row r="52" spans="1:3" x14ac:dyDescent="0.25">
      <c r="A52" s="1"/>
      <c r="B52" s="1"/>
      <c r="C52" s="1"/>
    </row>
    <row r="53" spans="1:3" x14ac:dyDescent="0.25">
      <c r="A53" s="1"/>
      <c r="B53" s="1"/>
      <c r="C53" s="1"/>
    </row>
    <row r="54" spans="1:3" x14ac:dyDescent="0.25">
      <c r="A54" s="1"/>
      <c r="B54" s="1"/>
      <c r="C54" s="1"/>
    </row>
    <row r="55" spans="1:3" x14ac:dyDescent="0.25">
      <c r="A55" s="1"/>
      <c r="B55" s="1"/>
      <c r="C55" s="1"/>
    </row>
    <row r="56" spans="1:3" x14ac:dyDescent="0.25">
      <c r="A56" s="1"/>
      <c r="B56" s="1"/>
      <c r="C56" s="1"/>
    </row>
    <row r="57" spans="1:3" x14ac:dyDescent="0.25">
      <c r="A57" s="1"/>
      <c r="B57" s="1"/>
      <c r="C57" s="1"/>
    </row>
    <row r="58" spans="1:3" x14ac:dyDescent="0.25">
      <c r="A58" s="1"/>
      <c r="B58" s="1"/>
      <c r="C58" s="1"/>
    </row>
    <row r="59" spans="1:3" x14ac:dyDescent="0.25">
      <c r="A59" s="1"/>
      <c r="B59" s="1"/>
      <c r="C59" s="1"/>
    </row>
    <row r="60" spans="1:3" x14ac:dyDescent="0.25">
      <c r="A60" s="1"/>
      <c r="B60" s="1"/>
      <c r="C60" s="1"/>
    </row>
    <row r="61" spans="1:3" x14ac:dyDescent="0.25">
      <c r="A61" s="1"/>
      <c r="B61" s="1"/>
      <c r="C61" s="1"/>
    </row>
    <row r="62" spans="1:3" x14ac:dyDescent="0.25">
      <c r="A62" s="1"/>
      <c r="B62" s="1"/>
      <c r="C62" s="1"/>
    </row>
    <row r="63" spans="1:3" x14ac:dyDescent="0.25">
      <c r="A63" s="1"/>
      <c r="B63" s="1"/>
      <c r="C63" s="1"/>
    </row>
    <row r="64" spans="1:3" x14ac:dyDescent="0.25">
      <c r="A64" s="1"/>
      <c r="B64" s="1"/>
      <c r="C64" s="1"/>
    </row>
    <row r="65" spans="1:3" x14ac:dyDescent="0.25">
      <c r="A65" s="1"/>
      <c r="B65" s="1"/>
      <c r="C65" s="1"/>
    </row>
    <row r="66" spans="1:3" x14ac:dyDescent="0.25">
      <c r="A66" s="1"/>
      <c r="B66" s="1"/>
      <c r="C66" s="1"/>
    </row>
    <row r="67" spans="1:3" x14ac:dyDescent="0.25">
      <c r="A67" s="1"/>
      <c r="B67" s="1"/>
      <c r="C67" s="1"/>
    </row>
    <row r="68" spans="1:3" x14ac:dyDescent="0.25">
      <c r="A68" s="1"/>
      <c r="B68" s="1"/>
      <c r="C68" s="1"/>
    </row>
    <row r="69" spans="1:3" x14ac:dyDescent="0.25">
      <c r="A69" s="1"/>
      <c r="B69" s="1"/>
      <c r="C69" s="1"/>
    </row>
    <row r="70" spans="1:3" x14ac:dyDescent="0.25">
      <c r="A70" s="1"/>
      <c r="B70" s="1"/>
      <c r="C70" s="1"/>
    </row>
    <row r="71" spans="1:3" x14ac:dyDescent="0.25">
      <c r="A71" s="1"/>
      <c r="B71" s="1"/>
      <c r="C71" s="1"/>
    </row>
    <row r="72" spans="1:3" x14ac:dyDescent="0.25">
      <c r="A72" s="1"/>
      <c r="B72" s="1"/>
      <c r="C72" s="1"/>
    </row>
    <row r="73" spans="1:3" x14ac:dyDescent="0.25">
      <c r="A73" s="1"/>
      <c r="B73" s="1"/>
      <c r="C73" s="1"/>
    </row>
    <row r="74" spans="1:3" x14ac:dyDescent="0.25">
      <c r="A74" s="1"/>
      <c r="B74" s="1"/>
      <c r="C74" s="1"/>
    </row>
    <row r="75" spans="1:3" x14ac:dyDescent="0.25">
      <c r="A75" s="1"/>
      <c r="B75" s="1"/>
      <c r="C75" s="1"/>
    </row>
    <row r="76" spans="1:3" x14ac:dyDescent="0.25">
      <c r="A76" s="1"/>
      <c r="B76" s="1"/>
      <c r="C76" s="1"/>
    </row>
    <row r="77" spans="1:3" x14ac:dyDescent="0.25">
      <c r="A77" s="1"/>
      <c r="B77" s="1"/>
      <c r="C77" s="1"/>
    </row>
    <row r="78" spans="1:3" x14ac:dyDescent="0.25">
      <c r="A78" s="1"/>
      <c r="B78" s="1"/>
      <c r="C78" s="1"/>
    </row>
    <row r="79" spans="1:3" x14ac:dyDescent="0.25">
      <c r="A79" s="1"/>
      <c r="B79" s="1"/>
      <c r="C79" s="1"/>
    </row>
    <row r="80" spans="1:3" x14ac:dyDescent="0.25">
      <c r="A80" s="1"/>
      <c r="B80" s="1"/>
      <c r="C80" s="1"/>
    </row>
    <row r="81" spans="1:3" x14ac:dyDescent="0.25">
      <c r="A81" s="1"/>
      <c r="B81" s="1"/>
      <c r="C81" s="1"/>
    </row>
    <row r="82" spans="1:3" x14ac:dyDescent="0.25">
      <c r="A82" s="1"/>
      <c r="B82" s="1"/>
      <c r="C82" s="1"/>
    </row>
    <row r="83" spans="1:3" x14ac:dyDescent="0.25">
      <c r="A83" s="1"/>
      <c r="B83" s="1"/>
      <c r="C83" s="1"/>
    </row>
    <row r="84" spans="1:3" x14ac:dyDescent="0.25">
      <c r="A84" s="1"/>
      <c r="B84" s="1"/>
      <c r="C84" s="1"/>
    </row>
    <row r="85" spans="1:3" x14ac:dyDescent="0.25">
      <c r="A85" s="1"/>
      <c r="B85" s="1"/>
      <c r="C85" s="1"/>
    </row>
    <row r="86" spans="1:3" x14ac:dyDescent="0.25">
      <c r="A86" s="1"/>
      <c r="B86" s="1"/>
      <c r="C86" s="1"/>
    </row>
    <row r="87" spans="1:3" x14ac:dyDescent="0.25">
      <c r="A87" s="1"/>
      <c r="B87" s="1"/>
      <c r="C87" s="1"/>
    </row>
    <row r="88" spans="1:3" x14ac:dyDescent="0.25">
      <c r="A88" s="1"/>
      <c r="B88" s="1"/>
      <c r="C88" s="1"/>
    </row>
    <row r="89" spans="1:3" x14ac:dyDescent="0.25">
      <c r="A89" s="1"/>
      <c r="B89" s="1"/>
      <c r="C89" s="1"/>
    </row>
    <row r="90" spans="1:3" x14ac:dyDescent="0.25">
      <c r="A90" s="1"/>
      <c r="B90" s="1"/>
      <c r="C90" s="1"/>
    </row>
    <row r="91" spans="1:3" x14ac:dyDescent="0.25">
      <c r="A91" s="1"/>
      <c r="B91" s="1"/>
      <c r="C91" s="1"/>
    </row>
    <row r="92" spans="1:3" x14ac:dyDescent="0.25">
      <c r="A92" s="1"/>
      <c r="B92" s="1"/>
      <c r="C92" s="1"/>
    </row>
    <row r="93" spans="1:3" x14ac:dyDescent="0.25">
      <c r="A93" s="1"/>
      <c r="B93" s="1"/>
      <c r="C93" s="1"/>
    </row>
    <row r="94" spans="1:3" x14ac:dyDescent="0.25">
      <c r="A94" s="1"/>
      <c r="B94" s="1"/>
      <c r="C94" s="1"/>
    </row>
    <row r="95" spans="1:3" x14ac:dyDescent="0.25">
      <c r="A95" s="1"/>
      <c r="B95" s="1"/>
      <c r="C95" s="1"/>
    </row>
    <row r="96" spans="1:3" x14ac:dyDescent="0.25">
      <c r="A96" s="1"/>
      <c r="B96" s="1"/>
      <c r="C96" s="1"/>
    </row>
    <row r="97" spans="1:3" x14ac:dyDescent="0.25">
      <c r="A97" s="1"/>
      <c r="B97" s="1"/>
      <c r="C97" s="1"/>
    </row>
    <row r="98" spans="1:3" x14ac:dyDescent="0.25">
      <c r="A98" s="1"/>
      <c r="B98" s="1"/>
      <c r="C98" s="1"/>
    </row>
    <row r="99" spans="1:3" x14ac:dyDescent="0.25">
      <c r="A99" s="1"/>
      <c r="B99" s="1"/>
      <c r="C99" s="1"/>
    </row>
    <row r="100" spans="1:3" x14ac:dyDescent="0.25">
      <c r="A100" s="1"/>
      <c r="B100" s="1"/>
      <c r="C100" s="1"/>
    </row>
    <row r="101" spans="1:3" x14ac:dyDescent="0.25">
      <c r="A101" s="1"/>
      <c r="B101" s="1"/>
      <c r="C101" s="1"/>
    </row>
    <row r="102" spans="1:3" x14ac:dyDescent="0.25">
      <c r="A102" s="1"/>
      <c r="B102" s="1"/>
      <c r="C102" s="1"/>
    </row>
    <row r="104" spans="1:3" x14ac:dyDescent="0.25">
      <c r="A104" s="1"/>
    </row>
  </sheetData>
  <mergeCells count="5">
    <mergeCell ref="V8:V14"/>
    <mergeCell ref="V16:V22"/>
    <mergeCell ref="A23:C23"/>
    <mergeCell ref="A24:B24"/>
    <mergeCell ref="V24:V30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EF850B-42B6-4565-BA3D-63B5C25E2370}">
  <sheetPr codeName="Planilha2"/>
  <dimension ref="A1:AB104"/>
  <sheetViews>
    <sheetView workbookViewId="0">
      <selection activeCell="Y17" sqref="Y17"/>
    </sheetView>
  </sheetViews>
  <sheetFormatPr defaultRowHeight="15" x14ac:dyDescent="0.25"/>
  <cols>
    <col min="1" max="1" width="8.28515625" style="2" bestFit="1" customWidth="1"/>
    <col min="2" max="3" width="7.7109375" style="2" customWidth="1"/>
    <col min="22" max="22" width="18.7109375" customWidth="1"/>
    <col min="23" max="23" width="20.140625" bestFit="1" customWidth="1"/>
    <col min="24" max="24" width="7.42578125" bestFit="1" customWidth="1"/>
    <col min="25" max="25" width="9.85546875" bestFit="1" customWidth="1"/>
  </cols>
  <sheetData>
    <row r="1" spans="1:28" ht="20.25" x14ac:dyDescent="0.25">
      <c r="A1" s="23" t="s">
        <v>1</v>
      </c>
      <c r="B1" s="23" t="s">
        <v>2</v>
      </c>
      <c r="C1" s="23" t="s">
        <v>3</v>
      </c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4" t="s">
        <v>0</v>
      </c>
      <c r="W1" s="5">
        <v>34</v>
      </c>
      <c r="X1" s="10"/>
      <c r="Y1" s="10"/>
      <c r="Z1" s="10"/>
      <c r="AA1" s="10"/>
      <c r="AB1" s="10"/>
    </row>
    <row r="2" spans="1:28" ht="23.25" x14ac:dyDescent="0.25">
      <c r="A2" s="22">
        <v>0</v>
      </c>
      <c r="B2" s="22">
        <f>IFERROR(SIN(2*PI()*($W$2*C2-A2/$W$3)),0)</f>
        <v>0.9807852804032301</v>
      </c>
      <c r="C2" s="24">
        <v>4.0546875</v>
      </c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5" t="s">
        <v>4</v>
      </c>
      <c r="W2" s="6">
        <v>4</v>
      </c>
      <c r="X2" s="10"/>
      <c r="Y2" s="10"/>
      <c r="Z2" s="10"/>
      <c r="AA2" s="10"/>
      <c r="AB2" s="10"/>
    </row>
    <row r="3" spans="1:28" ht="23.25" x14ac:dyDescent="0.25">
      <c r="A3" s="22">
        <f>$W$3/10</f>
        <v>0.4</v>
      </c>
      <c r="B3" s="22">
        <f t="shared" ref="B3:B12" si="0">IFERROR(SIN(2*PI()*($W$2*C3-A3/$W$3)),0)</f>
        <v>0.67880074553292757</v>
      </c>
      <c r="C3" s="24">
        <v>4.0546875</v>
      </c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7" t="s">
        <v>5</v>
      </c>
      <c r="W3" s="8">
        <v>4</v>
      </c>
      <c r="X3" s="10"/>
      <c r="Y3" s="10"/>
      <c r="Z3" s="10"/>
      <c r="AA3" s="10"/>
      <c r="AB3" s="10"/>
    </row>
    <row r="4" spans="1:28" ht="23.25" x14ac:dyDescent="0.25">
      <c r="A4" s="22">
        <f>A3+$A$3</f>
        <v>0.8</v>
      </c>
      <c r="B4" s="22">
        <f t="shared" si="0"/>
        <v>0.11753739745784322</v>
      </c>
      <c r="C4" s="24">
        <v>4.0546875</v>
      </c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5" t="s">
        <v>6</v>
      </c>
      <c r="W4" s="9">
        <v>4</v>
      </c>
      <c r="X4" s="10"/>
      <c r="Y4" s="10"/>
      <c r="Z4" s="10"/>
      <c r="AA4" s="10"/>
      <c r="AB4" s="10"/>
    </row>
    <row r="5" spans="1:28" ht="23.25" x14ac:dyDescent="0.25">
      <c r="A5" s="22">
        <f t="shared" ref="A5:A22" si="1">A4+$A$3</f>
        <v>1.2000000000000002</v>
      </c>
      <c r="B5" s="22">
        <f t="shared" si="0"/>
        <v>-0.48862124149696551</v>
      </c>
      <c r="C5" s="24">
        <v>4.0546875</v>
      </c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5" t="s">
        <v>7</v>
      </c>
      <c r="W5" s="12">
        <v>100</v>
      </c>
      <c r="X5" s="10"/>
      <c r="Y5" s="10"/>
      <c r="Z5" s="10"/>
      <c r="AA5" s="10"/>
      <c r="AB5" s="10"/>
    </row>
    <row r="6" spans="1:28" ht="15.75" thickBot="1" x14ac:dyDescent="0.3">
      <c r="A6" s="22">
        <f t="shared" si="1"/>
        <v>1.6</v>
      </c>
      <c r="B6" s="22">
        <f t="shared" si="0"/>
        <v>-0.90814317382508192</v>
      </c>
      <c r="C6" s="24">
        <v>4.0546875</v>
      </c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</row>
    <row r="7" spans="1:28" x14ac:dyDescent="0.25">
      <c r="A7" s="22">
        <f t="shared" si="1"/>
        <v>2</v>
      </c>
      <c r="B7" s="22">
        <f t="shared" si="0"/>
        <v>-0.98078528040322943</v>
      </c>
      <c r="C7" s="24">
        <v>4.0546875</v>
      </c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27" t="s">
        <v>11</v>
      </c>
      <c r="W7" s="10"/>
      <c r="X7" s="10"/>
      <c r="Y7" s="10"/>
      <c r="Z7" s="10"/>
      <c r="AA7" s="10"/>
      <c r="AB7" s="10"/>
    </row>
    <row r="8" spans="1:28" ht="15.75" customHeight="1" x14ac:dyDescent="0.25">
      <c r="A8" s="22">
        <f t="shared" si="1"/>
        <v>2.4</v>
      </c>
      <c r="B8" s="22">
        <f t="shared" si="0"/>
        <v>-0.67880074553293546</v>
      </c>
      <c r="C8" s="24">
        <v>4.0546875</v>
      </c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32"/>
      <c r="W8" s="10"/>
      <c r="X8" s="10"/>
      <c r="Y8" s="10"/>
      <c r="Z8" s="10"/>
      <c r="AA8" s="10"/>
      <c r="AB8" s="10"/>
    </row>
    <row r="9" spans="1:28" ht="15.75" customHeight="1" x14ac:dyDescent="0.25">
      <c r="A9" s="22">
        <f t="shared" si="1"/>
        <v>2.8</v>
      </c>
      <c r="B9" s="22">
        <f t="shared" si="0"/>
        <v>-0.11753739745783982</v>
      </c>
      <c r="C9" s="24">
        <v>4.0546875</v>
      </c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32"/>
      <c r="W9" s="10"/>
      <c r="X9" s="10"/>
      <c r="Y9" s="10"/>
      <c r="Z9" s="10"/>
      <c r="AA9" s="10"/>
      <c r="AB9" s="10"/>
    </row>
    <row r="10" spans="1:28" ht="15.75" customHeight="1" x14ac:dyDescent="0.25">
      <c r="A10" s="22">
        <f t="shared" si="1"/>
        <v>3.1999999999999997</v>
      </c>
      <c r="B10" s="22">
        <f t="shared" si="0"/>
        <v>0.48862124149695613</v>
      </c>
      <c r="C10" s="24">
        <v>4.0546875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32"/>
      <c r="W10" s="10"/>
      <c r="X10" s="10"/>
      <c r="Y10" s="10"/>
      <c r="Z10" s="10"/>
      <c r="AA10" s="10"/>
      <c r="AB10" s="10"/>
    </row>
    <row r="11" spans="1:28" ht="15.75" customHeight="1" x14ac:dyDescent="0.25">
      <c r="A11" s="22">
        <f t="shared" si="1"/>
        <v>3.5999999999999996</v>
      </c>
      <c r="B11" s="22">
        <f t="shared" si="0"/>
        <v>0.90814317382508336</v>
      </c>
      <c r="C11" s="24">
        <v>4.0546875</v>
      </c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32"/>
      <c r="W11" s="10"/>
      <c r="X11" s="10"/>
      <c r="Y11" s="10"/>
      <c r="Z11" s="10"/>
      <c r="AA11" s="10"/>
      <c r="AB11" s="10"/>
    </row>
    <row r="12" spans="1:28" ht="15.75" customHeight="1" x14ac:dyDescent="0.25">
      <c r="A12" s="22">
        <f t="shared" si="1"/>
        <v>3.9999999999999996</v>
      </c>
      <c r="B12" s="22">
        <f t="shared" si="0"/>
        <v>0.98078528040322877</v>
      </c>
      <c r="C12" s="24">
        <v>4.0546875</v>
      </c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32"/>
      <c r="W12" s="10"/>
      <c r="X12" s="10"/>
      <c r="Y12" s="10"/>
      <c r="Z12" s="10"/>
      <c r="AA12" s="10"/>
      <c r="AB12" s="10"/>
    </row>
    <row r="13" spans="1:28" ht="15.75" customHeight="1" x14ac:dyDescent="0.25">
      <c r="A13" s="22">
        <f t="shared" si="1"/>
        <v>4.3999999999999995</v>
      </c>
      <c r="B13" s="22">
        <f t="shared" ref="B13:B22" si="2">IFERROR(SIN(2*PI()*($W$2*C13-A13/$W$3)),0)</f>
        <v>0.67880074553294345</v>
      </c>
      <c r="C13" s="24">
        <v>4.0546875</v>
      </c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32"/>
      <c r="W13" s="10"/>
      <c r="X13" s="10"/>
      <c r="Y13" s="10"/>
      <c r="Z13" s="10"/>
      <c r="AA13" s="10"/>
      <c r="AB13" s="10"/>
    </row>
    <row r="14" spans="1:28" ht="15.75" customHeight="1" x14ac:dyDescent="0.25">
      <c r="A14" s="22">
        <f t="shared" si="1"/>
        <v>4.8</v>
      </c>
      <c r="B14" s="22">
        <f t="shared" si="2"/>
        <v>0.11753739745783641</v>
      </c>
      <c r="C14" s="24">
        <v>4.0546875</v>
      </c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32"/>
      <c r="W14" s="10"/>
      <c r="X14" s="10"/>
      <c r="Y14" s="10"/>
      <c r="Z14" s="10"/>
      <c r="AA14" s="10"/>
      <c r="AB14" s="10"/>
    </row>
    <row r="15" spans="1:28" x14ac:dyDescent="0.25">
      <c r="A15" s="22">
        <f t="shared" si="1"/>
        <v>5.2</v>
      </c>
      <c r="B15" s="22">
        <f t="shared" si="2"/>
        <v>-0.48862124149695912</v>
      </c>
      <c r="C15" s="24">
        <v>4.0546875</v>
      </c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28" t="s">
        <v>12</v>
      </c>
      <c r="W15" s="10"/>
      <c r="X15" s="10"/>
      <c r="Y15" s="10"/>
      <c r="Z15" s="10"/>
      <c r="AA15" s="10"/>
      <c r="AB15" s="10"/>
    </row>
    <row r="16" spans="1:28" ht="15.75" customHeight="1" x14ac:dyDescent="0.25">
      <c r="A16" s="22">
        <f t="shared" si="1"/>
        <v>5.6000000000000005</v>
      </c>
      <c r="B16" s="22">
        <f t="shared" si="2"/>
        <v>-0.9081431738250848</v>
      </c>
      <c r="C16" s="24">
        <v>4.0546875</v>
      </c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32"/>
      <c r="W16" s="11"/>
      <c r="X16" s="10"/>
      <c r="Y16" s="10"/>
      <c r="Z16" s="10"/>
      <c r="AA16" s="10"/>
      <c r="AB16" s="10"/>
    </row>
    <row r="17" spans="1:28" ht="15.75" customHeight="1" x14ac:dyDescent="0.25">
      <c r="A17" s="22">
        <f t="shared" si="1"/>
        <v>6.0000000000000009</v>
      </c>
      <c r="B17" s="22">
        <f t="shared" si="2"/>
        <v>-0.98078528040323087</v>
      </c>
      <c r="C17" s="24">
        <v>4.0546875</v>
      </c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32"/>
      <c r="W17" s="10"/>
      <c r="X17" s="10"/>
      <c r="Y17" s="10"/>
      <c r="Z17" s="10"/>
      <c r="AA17" s="10"/>
      <c r="AB17" s="10"/>
    </row>
    <row r="18" spans="1:28" ht="15.75" customHeight="1" x14ac:dyDescent="0.25">
      <c r="A18" s="22">
        <f t="shared" si="1"/>
        <v>6.4000000000000012</v>
      </c>
      <c r="B18" s="22">
        <f t="shared" si="2"/>
        <v>-0.6788007455329409</v>
      </c>
      <c r="C18" s="24">
        <v>4.0546875</v>
      </c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32"/>
      <c r="W18" s="10"/>
      <c r="X18" s="10"/>
      <c r="Y18" s="10"/>
      <c r="Z18" s="10"/>
      <c r="AA18" s="10"/>
      <c r="AB18" s="10"/>
    </row>
    <row r="19" spans="1:28" ht="15.75" customHeight="1" x14ac:dyDescent="0.25">
      <c r="A19" s="22">
        <f t="shared" si="1"/>
        <v>6.8000000000000016</v>
      </c>
      <c r="B19" s="22">
        <f t="shared" si="2"/>
        <v>-0.11753739745783301</v>
      </c>
      <c r="C19" s="24">
        <v>4.0546875</v>
      </c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32"/>
      <c r="W19" s="10"/>
      <c r="X19" s="10"/>
      <c r="Y19" s="10"/>
      <c r="Z19" s="10"/>
      <c r="AA19" s="10"/>
      <c r="AB19" s="10"/>
    </row>
    <row r="20" spans="1:28" ht="15.75" customHeight="1" x14ac:dyDescent="0.25">
      <c r="A20" s="22">
        <f t="shared" si="1"/>
        <v>7.200000000000002</v>
      </c>
      <c r="B20" s="22">
        <f t="shared" si="2"/>
        <v>0.48862124149696212</v>
      </c>
      <c r="C20" s="24">
        <v>4.0546875</v>
      </c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32"/>
      <c r="W20" s="10"/>
      <c r="X20" s="10"/>
      <c r="Y20" s="10"/>
      <c r="Z20" s="10"/>
      <c r="AA20" s="10"/>
      <c r="AB20" s="10"/>
    </row>
    <row r="21" spans="1:28" ht="15.75" customHeight="1" x14ac:dyDescent="0.25">
      <c r="A21" s="22">
        <f t="shared" si="1"/>
        <v>7.6000000000000023</v>
      </c>
      <c r="B21" s="22">
        <f t="shared" si="2"/>
        <v>0.90814317382508625</v>
      </c>
      <c r="C21" s="24">
        <v>4.0546875</v>
      </c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32"/>
      <c r="W21" s="10"/>
      <c r="X21" s="10"/>
      <c r="Y21" s="10"/>
      <c r="Z21" s="10"/>
      <c r="AA21" s="10"/>
      <c r="AB21" s="10"/>
    </row>
    <row r="22" spans="1:28" ht="15.75" customHeight="1" x14ac:dyDescent="0.25">
      <c r="A22" s="22">
        <f t="shared" si="1"/>
        <v>8.0000000000000018</v>
      </c>
      <c r="B22" s="22">
        <f t="shared" si="2"/>
        <v>0.98078528040323021</v>
      </c>
      <c r="C22" s="24">
        <v>4.0546875</v>
      </c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32"/>
      <c r="W22" s="10"/>
      <c r="X22" s="10"/>
      <c r="Y22" s="10"/>
      <c r="Z22" s="10"/>
      <c r="AA22" s="10"/>
      <c r="AB22" s="10"/>
    </row>
    <row r="23" spans="1:28" x14ac:dyDescent="0.25">
      <c r="A23" s="35"/>
      <c r="B23" s="35"/>
      <c r="C23" s="35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28" t="s">
        <v>13</v>
      </c>
      <c r="W23" s="10"/>
      <c r="X23" s="10"/>
      <c r="Y23" s="10"/>
      <c r="Z23" s="10"/>
      <c r="AA23" s="10"/>
      <c r="AB23" s="10"/>
    </row>
    <row r="24" spans="1:28" ht="15.75" customHeight="1" x14ac:dyDescent="0.25">
      <c r="A24" s="35"/>
      <c r="B24" s="35"/>
      <c r="C24" s="3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32"/>
      <c r="W24" s="10"/>
      <c r="X24" s="10"/>
      <c r="Y24" s="10"/>
      <c r="Z24" s="10"/>
      <c r="AA24" s="10"/>
      <c r="AB24" s="10"/>
    </row>
    <row r="25" spans="1:28" ht="15.75" customHeight="1" x14ac:dyDescent="0.25">
      <c r="A25" s="1"/>
      <c r="B25" s="1"/>
      <c r="C25" s="1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32"/>
      <c r="W25" s="10"/>
      <c r="X25" s="10"/>
      <c r="Y25" s="10"/>
      <c r="Z25" s="10"/>
      <c r="AA25" s="10"/>
      <c r="AB25" s="10"/>
    </row>
    <row r="26" spans="1:28" ht="15.75" customHeight="1" x14ac:dyDescent="0.25">
      <c r="A26" s="1"/>
      <c r="B26" s="1"/>
      <c r="C26" s="1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32"/>
      <c r="W26" s="10"/>
      <c r="X26" s="10"/>
      <c r="Y26" s="10"/>
      <c r="Z26" s="10"/>
      <c r="AA26" s="10"/>
      <c r="AB26" s="10"/>
    </row>
    <row r="27" spans="1:28" ht="15.75" customHeight="1" x14ac:dyDescent="0.25">
      <c r="A27" s="1"/>
      <c r="B27" s="1"/>
      <c r="C27" s="1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32"/>
      <c r="W27" s="10"/>
      <c r="X27" s="10"/>
      <c r="Y27" s="10"/>
      <c r="Z27" s="10"/>
      <c r="AA27" s="10"/>
      <c r="AB27" s="10"/>
    </row>
    <row r="28" spans="1:28" ht="15.75" customHeight="1" x14ac:dyDescent="0.25">
      <c r="A28" s="1"/>
      <c r="B28" s="1"/>
      <c r="C28" s="1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32"/>
      <c r="W28" s="10"/>
      <c r="X28" s="10"/>
      <c r="Y28" s="10"/>
      <c r="Z28" s="10"/>
      <c r="AA28" s="10"/>
      <c r="AB28" s="10"/>
    </row>
    <row r="29" spans="1:28" ht="15.75" customHeight="1" x14ac:dyDescent="0.25">
      <c r="A29" s="1"/>
      <c r="B29" s="1"/>
      <c r="C29" s="1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32"/>
      <c r="W29" s="10"/>
      <c r="X29" s="10"/>
      <c r="Y29" s="10"/>
      <c r="Z29" s="10"/>
      <c r="AA29" s="10"/>
      <c r="AB29" s="10"/>
    </row>
    <row r="30" spans="1:28" ht="15.75" thickBot="1" x14ac:dyDescent="0.3">
      <c r="A30" s="1"/>
      <c r="B30" s="1"/>
      <c r="C30" s="1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34"/>
      <c r="W30" s="10"/>
      <c r="X30" s="10"/>
      <c r="Y30" s="10"/>
      <c r="Z30" s="10"/>
      <c r="AA30" s="10"/>
      <c r="AB30" s="10"/>
    </row>
    <row r="31" spans="1:28" x14ac:dyDescent="0.25">
      <c r="A31" s="1"/>
      <c r="B31" s="1"/>
      <c r="C31" s="1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</row>
    <row r="32" spans="1:28" x14ac:dyDescent="0.25">
      <c r="A32" s="1"/>
      <c r="B32" s="1"/>
      <c r="C32" s="1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</row>
    <row r="33" spans="1:28" x14ac:dyDescent="0.25">
      <c r="A33" s="1"/>
      <c r="B33" s="1"/>
      <c r="C33" s="1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</row>
    <row r="34" spans="1:28" x14ac:dyDescent="0.25">
      <c r="A34" s="1"/>
      <c r="B34" s="1"/>
      <c r="C34" s="1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</row>
    <row r="35" spans="1:28" x14ac:dyDescent="0.25">
      <c r="A35" s="1"/>
      <c r="B35" s="1"/>
      <c r="C35" s="1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</row>
    <row r="36" spans="1:28" x14ac:dyDescent="0.25">
      <c r="A36" s="1"/>
      <c r="B36" s="1"/>
      <c r="C36" s="1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</row>
    <row r="37" spans="1:28" x14ac:dyDescent="0.25">
      <c r="A37" s="1"/>
      <c r="B37" s="1"/>
      <c r="C37" s="1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</row>
    <row r="38" spans="1:28" x14ac:dyDescent="0.25">
      <c r="A38" s="1"/>
      <c r="B38" s="1"/>
      <c r="C38" s="1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</row>
    <row r="39" spans="1:28" x14ac:dyDescent="0.25">
      <c r="A39" s="1"/>
      <c r="B39" s="1"/>
      <c r="C39" s="1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</row>
    <row r="40" spans="1:28" x14ac:dyDescent="0.25">
      <c r="A40" s="1"/>
      <c r="B40" s="1"/>
      <c r="C40" s="1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</row>
    <row r="41" spans="1:28" x14ac:dyDescent="0.25">
      <c r="A41" s="1"/>
      <c r="B41" s="1"/>
      <c r="C41" s="1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</row>
    <row r="42" spans="1:28" x14ac:dyDescent="0.25">
      <c r="A42" s="1"/>
      <c r="B42" s="1"/>
      <c r="C42" s="1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</row>
    <row r="43" spans="1:28" x14ac:dyDescent="0.25">
      <c r="A43" s="1"/>
      <c r="B43" s="1"/>
      <c r="C43" s="1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</row>
    <row r="44" spans="1:28" x14ac:dyDescent="0.25">
      <c r="A44" s="1"/>
      <c r="B44" s="1"/>
      <c r="C44" s="1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</row>
    <row r="45" spans="1:28" x14ac:dyDescent="0.25">
      <c r="A45" s="1"/>
      <c r="B45" s="1"/>
      <c r="C45" s="1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</row>
    <row r="46" spans="1:28" x14ac:dyDescent="0.25">
      <c r="A46" s="1"/>
      <c r="B46" s="1"/>
      <c r="C46" s="1"/>
    </row>
    <row r="47" spans="1:28" x14ac:dyDescent="0.25">
      <c r="A47" s="1"/>
      <c r="B47" s="1"/>
      <c r="C47" s="1"/>
    </row>
    <row r="48" spans="1:28" x14ac:dyDescent="0.25">
      <c r="A48" s="1"/>
      <c r="B48" s="1"/>
      <c r="C48" s="1"/>
    </row>
    <row r="49" spans="1:3" x14ac:dyDescent="0.25">
      <c r="A49" s="1"/>
      <c r="B49" s="1"/>
      <c r="C49" s="1"/>
    </row>
    <row r="50" spans="1:3" x14ac:dyDescent="0.25">
      <c r="A50" s="1"/>
      <c r="B50" s="1"/>
      <c r="C50" s="1"/>
    </row>
    <row r="51" spans="1:3" x14ac:dyDescent="0.25">
      <c r="A51" s="1"/>
      <c r="B51" s="1"/>
      <c r="C51" s="1"/>
    </row>
    <row r="52" spans="1:3" x14ac:dyDescent="0.25">
      <c r="A52" s="1"/>
      <c r="B52" s="1"/>
      <c r="C52" s="1"/>
    </row>
    <row r="53" spans="1:3" x14ac:dyDescent="0.25">
      <c r="A53" s="1"/>
      <c r="B53" s="1"/>
      <c r="C53" s="1"/>
    </row>
    <row r="54" spans="1:3" x14ac:dyDescent="0.25">
      <c r="A54" s="1"/>
      <c r="B54" s="1"/>
      <c r="C54" s="1"/>
    </row>
    <row r="55" spans="1:3" x14ac:dyDescent="0.25">
      <c r="A55" s="1"/>
      <c r="B55" s="1"/>
      <c r="C55" s="1"/>
    </row>
    <row r="56" spans="1:3" x14ac:dyDescent="0.25">
      <c r="A56" s="1"/>
      <c r="B56" s="1"/>
      <c r="C56" s="1"/>
    </row>
    <row r="57" spans="1:3" x14ac:dyDescent="0.25">
      <c r="A57" s="1"/>
      <c r="B57" s="1"/>
      <c r="C57" s="1"/>
    </row>
    <row r="58" spans="1:3" x14ac:dyDescent="0.25">
      <c r="A58" s="1"/>
      <c r="B58" s="1"/>
      <c r="C58" s="1"/>
    </row>
    <row r="59" spans="1:3" x14ac:dyDescent="0.25">
      <c r="A59" s="1"/>
      <c r="B59" s="1"/>
      <c r="C59" s="1"/>
    </row>
    <row r="60" spans="1:3" x14ac:dyDescent="0.25">
      <c r="A60" s="1"/>
      <c r="B60" s="1"/>
      <c r="C60" s="1"/>
    </row>
    <row r="61" spans="1:3" x14ac:dyDescent="0.25">
      <c r="A61" s="1"/>
      <c r="B61" s="1"/>
      <c r="C61" s="1"/>
    </row>
    <row r="62" spans="1:3" x14ac:dyDescent="0.25">
      <c r="A62" s="1"/>
      <c r="B62" s="1"/>
      <c r="C62" s="1"/>
    </row>
    <row r="63" spans="1:3" x14ac:dyDescent="0.25">
      <c r="A63" s="1"/>
      <c r="B63" s="1"/>
      <c r="C63" s="1"/>
    </row>
    <row r="64" spans="1:3" x14ac:dyDescent="0.25">
      <c r="A64" s="1"/>
      <c r="B64" s="1"/>
      <c r="C64" s="1"/>
    </row>
    <row r="65" spans="1:3" x14ac:dyDescent="0.25">
      <c r="A65" s="1"/>
      <c r="B65" s="1"/>
      <c r="C65" s="1"/>
    </row>
    <row r="66" spans="1:3" x14ac:dyDescent="0.25">
      <c r="A66" s="1"/>
      <c r="B66" s="1"/>
      <c r="C66" s="1"/>
    </row>
    <row r="67" spans="1:3" x14ac:dyDescent="0.25">
      <c r="A67" s="1"/>
      <c r="B67" s="1"/>
      <c r="C67" s="1"/>
    </row>
    <row r="68" spans="1:3" x14ac:dyDescent="0.25">
      <c r="A68" s="1"/>
      <c r="B68" s="1"/>
      <c r="C68" s="1"/>
    </row>
    <row r="69" spans="1:3" x14ac:dyDescent="0.25">
      <c r="A69" s="1"/>
      <c r="B69" s="1"/>
      <c r="C69" s="1"/>
    </row>
    <row r="70" spans="1:3" x14ac:dyDescent="0.25">
      <c r="A70" s="1"/>
      <c r="B70" s="1"/>
      <c r="C70" s="1"/>
    </row>
    <row r="71" spans="1:3" x14ac:dyDescent="0.25">
      <c r="A71" s="1"/>
      <c r="B71" s="1"/>
      <c r="C71" s="1"/>
    </row>
    <row r="72" spans="1:3" x14ac:dyDescent="0.25">
      <c r="A72" s="1"/>
      <c r="B72" s="1"/>
      <c r="C72" s="1"/>
    </row>
    <row r="73" spans="1:3" x14ac:dyDescent="0.25">
      <c r="A73" s="1"/>
      <c r="B73" s="1"/>
      <c r="C73" s="1"/>
    </row>
    <row r="74" spans="1:3" x14ac:dyDescent="0.25">
      <c r="A74" s="1"/>
      <c r="B74" s="1"/>
      <c r="C74" s="1"/>
    </row>
    <row r="75" spans="1:3" x14ac:dyDescent="0.25">
      <c r="A75" s="1"/>
      <c r="B75" s="1"/>
      <c r="C75" s="1"/>
    </row>
    <row r="76" spans="1:3" x14ac:dyDescent="0.25">
      <c r="A76" s="1"/>
      <c r="B76" s="1"/>
      <c r="C76" s="1"/>
    </row>
    <row r="77" spans="1:3" x14ac:dyDescent="0.25">
      <c r="A77" s="1"/>
      <c r="B77" s="1"/>
      <c r="C77" s="1"/>
    </row>
    <row r="78" spans="1:3" x14ac:dyDescent="0.25">
      <c r="A78" s="1"/>
      <c r="B78" s="1"/>
      <c r="C78" s="1"/>
    </row>
    <row r="79" spans="1:3" x14ac:dyDescent="0.25">
      <c r="A79" s="1"/>
      <c r="B79" s="1"/>
      <c r="C79" s="1"/>
    </row>
    <row r="80" spans="1:3" x14ac:dyDescent="0.25">
      <c r="A80" s="1"/>
      <c r="B80" s="1"/>
      <c r="C80" s="1"/>
    </row>
    <row r="81" spans="1:3" x14ac:dyDescent="0.25">
      <c r="A81" s="1"/>
      <c r="B81" s="1"/>
      <c r="C81" s="1"/>
    </row>
    <row r="82" spans="1:3" x14ac:dyDescent="0.25">
      <c r="A82" s="1"/>
      <c r="B82" s="1"/>
      <c r="C82" s="1"/>
    </row>
    <row r="83" spans="1:3" x14ac:dyDescent="0.25">
      <c r="A83" s="1"/>
      <c r="B83" s="1"/>
      <c r="C83" s="1"/>
    </row>
    <row r="84" spans="1:3" x14ac:dyDescent="0.25">
      <c r="A84" s="1"/>
      <c r="B84" s="1"/>
      <c r="C84" s="1"/>
    </row>
    <row r="85" spans="1:3" x14ac:dyDescent="0.25">
      <c r="A85" s="1"/>
      <c r="B85" s="1"/>
      <c r="C85" s="1"/>
    </row>
    <row r="86" spans="1:3" x14ac:dyDescent="0.25">
      <c r="A86" s="1"/>
      <c r="B86" s="1"/>
      <c r="C86" s="1"/>
    </row>
    <row r="87" spans="1:3" x14ac:dyDescent="0.25">
      <c r="A87" s="1"/>
      <c r="B87" s="1"/>
      <c r="C87" s="1"/>
    </row>
    <row r="88" spans="1:3" x14ac:dyDescent="0.25">
      <c r="A88" s="1"/>
      <c r="B88" s="1"/>
      <c r="C88" s="1"/>
    </row>
    <row r="89" spans="1:3" x14ac:dyDescent="0.25">
      <c r="A89" s="1"/>
      <c r="B89" s="1"/>
      <c r="C89" s="1"/>
    </row>
    <row r="90" spans="1:3" x14ac:dyDescent="0.25">
      <c r="A90" s="1"/>
      <c r="B90" s="1"/>
      <c r="C90" s="1"/>
    </row>
    <row r="91" spans="1:3" x14ac:dyDescent="0.25">
      <c r="A91" s="1"/>
      <c r="B91" s="1"/>
      <c r="C91" s="1"/>
    </row>
    <row r="92" spans="1:3" x14ac:dyDescent="0.25">
      <c r="A92" s="1"/>
      <c r="B92" s="1"/>
      <c r="C92" s="1"/>
    </row>
    <row r="93" spans="1:3" x14ac:dyDescent="0.25">
      <c r="A93" s="1"/>
      <c r="B93" s="1"/>
      <c r="C93" s="1"/>
    </row>
    <row r="94" spans="1:3" x14ac:dyDescent="0.25">
      <c r="A94" s="1"/>
      <c r="B94" s="1"/>
      <c r="C94" s="1"/>
    </row>
    <row r="95" spans="1:3" x14ac:dyDescent="0.25">
      <c r="A95" s="1"/>
      <c r="B95" s="1"/>
      <c r="C95" s="1"/>
    </row>
    <row r="96" spans="1:3" x14ac:dyDescent="0.25">
      <c r="A96" s="1"/>
      <c r="B96" s="1"/>
      <c r="C96" s="1"/>
    </row>
    <row r="97" spans="1:3" x14ac:dyDescent="0.25">
      <c r="A97" s="1"/>
      <c r="B97" s="1"/>
      <c r="C97" s="1"/>
    </row>
    <row r="98" spans="1:3" x14ac:dyDescent="0.25">
      <c r="A98" s="1"/>
      <c r="B98" s="1"/>
      <c r="C98" s="1"/>
    </row>
    <row r="99" spans="1:3" x14ac:dyDescent="0.25">
      <c r="A99" s="1"/>
      <c r="B99" s="1"/>
      <c r="C99" s="1"/>
    </row>
    <row r="100" spans="1:3" x14ac:dyDescent="0.25">
      <c r="A100" s="1"/>
      <c r="B100" s="1"/>
      <c r="C100" s="1"/>
    </row>
    <row r="101" spans="1:3" x14ac:dyDescent="0.25">
      <c r="A101" s="1"/>
      <c r="B101" s="1"/>
      <c r="C101" s="1"/>
    </row>
    <row r="102" spans="1:3" x14ac:dyDescent="0.25">
      <c r="A102" s="1"/>
      <c r="B102" s="1"/>
      <c r="C102" s="1"/>
    </row>
    <row r="104" spans="1:3" x14ac:dyDescent="0.25">
      <c r="A104" s="1"/>
    </row>
  </sheetData>
  <mergeCells count="5">
    <mergeCell ref="A23:C23"/>
    <mergeCell ref="A24:B24"/>
    <mergeCell ref="V8:V14"/>
    <mergeCell ref="V16:V22"/>
    <mergeCell ref="V24:V30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0A792F-4B66-409C-A2B2-232EC2BD3479}">
  <sheetPr codeName="Planilha3"/>
  <dimension ref="A1:AC104"/>
  <sheetViews>
    <sheetView workbookViewId="0">
      <selection activeCell="V26" sqref="V26"/>
    </sheetView>
  </sheetViews>
  <sheetFormatPr defaultRowHeight="15" x14ac:dyDescent="0.25"/>
  <cols>
    <col min="1" max="3" width="9.28515625" style="2" customWidth="1"/>
    <col min="4" max="5" width="9.28515625" customWidth="1"/>
    <col min="22" max="22" width="10.85546875" customWidth="1"/>
    <col min="23" max="23" width="16.28515625" bestFit="1" customWidth="1"/>
    <col min="24" max="24" width="11.140625" customWidth="1"/>
    <col min="25" max="25" width="14.42578125" bestFit="1" customWidth="1"/>
  </cols>
  <sheetData>
    <row r="1" spans="1:29" ht="20.25" x14ac:dyDescent="0.25">
      <c r="A1" s="23" t="s">
        <v>1</v>
      </c>
      <c r="B1" s="23" t="s">
        <v>2</v>
      </c>
      <c r="C1" s="23" t="s">
        <v>1</v>
      </c>
      <c r="D1" s="23" t="s">
        <v>2</v>
      </c>
      <c r="E1" s="23" t="s">
        <v>3</v>
      </c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37" t="s">
        <v>8</v>
      </c>
      <c r="W1" s="38"/>
      <c r="Z1" s="10"/>
      <c r="AA1" s="10"/>
      <c r="AB1" s="10"/>
      <c r="AC1" s="10"/>
    </row>
    <row r="2" spans="1:29" ht="23.25" x14ac:dyDescent="0.25">
      <c r="A2" s="22">
        <v>0</v>
      </c>
      <c r="B2" s="22">
        <f>SIN(2*PI()*($W$2*E2-A2/$W$3))</f>
        <v>7.8459095727844902E-2</v>
      </c>
      <c r="C2" s="22">
        <v>0</v>
      </c>
      <c r="D2" s="22">
        <f t="shared" ref="D2:D22" si="0">SIN(2*PI()*($W$6*E2-C2/$W$7))</f>
        <v>0.70710678118654213</v>
      </c>
      <c r="E2" s="24">
        <v>10.0625</v>
      </c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3" t="s">
        <v>4</v>
      </c>
      <c r="W2" s="14">
        <v>0.2</v>
      </c>
      <c r="Z2" s="10"/>
      <c r="AA2" s="10"/>
      <c r="AB2" s="10"/>
      <c r="AC2" s="10"/>
    </row>
    <row r="3" spans="1:29" ht="23.25" x14ac:dyDescent="0.25">
      <c r="A3" s="22">
        <f>$W$3/10</f>
        <v>0.08</v>
      </c>
      <c r="B3" s="22">
        <f t="shared" ref="B3:B22" si="1">SIN(2*PI()*($W$2*E3-A3/$W$3))</f>
        <v>-0.52249856471594891</v>
      </c>
      <c r="C3" s="22">
        <f>$W$7/10</f>
        <v>0.12</v>
      </c>
      <c r="D3" s="22">
        <f t="shared" si="0"/>
        <v>0.15643446504021988</v>
      </c>
      <c r="E3" s="24">
        <v>10.0625</v>
      </c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5" t="s">
        <v>5</v>
      </c>
      <c r="W3" s="16">
        <v>0.8</v>
      </c>
      <c r="Z3" s="10"/>
      <c r="AA3" s="10"/>
      <c r="AB3" s="10"/>
      <c r="AC3" s="10"/>
    </row>
    <row r="4" spans="1:29" x14ac:dyDescent="0.25">
      <c r="A4" s="22">
        <f>A3+$A$3</f>
        <v>0.16</v>
      </c>
      <c r="B4" s="22">
        <f t="shared" si="1"/>
        <v>-0.92387953251128607</v>
      </c>
      <c r="C4" s="22">
        <f>C3+$C$3</f>
        <v>0.24</v>
      </c>
      <c r="D4" s="22">
        <f t="shared" si="0"/>
        <v>-0.45399049973954719</v>
      </c>
      <c r="E4" s="24">
        <v>10.0625</v>
      </c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Z4" s="10"/>
      <c r="AA4" s="10"/>
      <c r="AB4" s="10"/>
      <c r="AC4" s="10"/>
    </row>
    <row r="5" spans="1:29" ht="20.25" x14ac:dyDescent="0.25">
      <c r="A5" s="22">
        <f t="shared" ref="A5:A22" si="2">A4+$A$3</f>
        <v>0.24</v>
      </c>
      <c r="B5" s="22">
        <f t="shared" si="1"/>
        <v>-0.97236992039767656</v>
      </c>
      <c r="C5" s="22">
        <f t="shared" ref="C5:C22" si="3">C4+$C$3</f>
        <v>0.36</v>
      </c>
      <c r="D5" s="22">
        <f t="shared" si="0"/>
        <v>-0.89100652418836968</v>
      </c>
      <c r="E5" s="24">
        <v>10.0625</v>
      </c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39" t="s">
        <v>9</v>
      </c>
      <c r="W5" s="40"/>
      <c r="X5" s="10"/>
      <c r="Y5" s="10"/>
      <c r="Z5" s="10"/>
      <c r="AA5" s="10"/>
      <c r="AB5" s="10"/>
      <c r="AC5" s="10"/>
    </row>
    <row r="6" spans="1:29" ht="23.25" x14ac:dyDescent="0.25">
      <c r="A6" s="22">
        <f t="shared" si="2"/>
        <v>0.32</v>
      </c>
      <c r="B6" s="22">
        <f t="shared" si="1"/>
        <v>-0.64944804833018499</v>
      </c>
      <c r="C6" s="22">
        <f t="shared" si="3"/>
        <v>0.48</v>
      </c>
      <c r="D6" s="22">
        <f t="shared" si="0"/>
        <v>-0.98768834059513877</v>
      </c>
      <c r="E6" s="24">
        <v>10.0625</v>
      </c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7" t="s">
        <v>4</v>
      </c>
      <c r="W6" s="18">
        <v>2</v>
      </c>
      <c r="X6" s="10"/>
      <c r="Y6" s="10"/>
      <c r="Z6" s="10"/>
      <c r="AA6" s="10"/>
      <c r="AB6" s="10"/>
      <c r="AC6" s="10"/>
    </row>
    <row r="7" spans="1:29" ht="23.25" x14ac:dyDescent="0.25">
      <c r="A7" s="22">
        <f t="shared" si="2"/>
        <v>0.4</v>
      </c>
      <c r="B7" s="22">
        <f t="shared" si="1"/>
        <v>-7.8459095727845013E-2</v>
      </c>
      <c r="C7" s="22">
        <f t="shared" si="3"/>
        <v>0.6</v>
      </c>
      <c r="D7" s="22">
        <f t="shared" si="0"/>
        <v>-0.70710678118653969</v>
      </c>
      <c r="E7" s="24">
        <v>10.0625</v>
      </c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9" t="s">
        <v>5</v>
      </c>
      <c r="W7" s="20">
        <v>1.2</v>
      </c>
      <c r="X7" s="10"/>
      <c r="Y7" s="10"/>
      <c r="Z7" s="10"/>
      <c r="AA7" s="10"/>
      <c r="AB7" s="10"/>
      <c r="AC7" s="10"/>
    </row>
    <row r="8" spans="1:29" ht="23.25" x14ac:dyDescent="0.25">
      <c r="A8" s="22">
        <f t="shared" si="2"/>
        <v>0.48000000000000004</v>
      </c>
      <c r="B8" s="22">
        <f t="shared" si="1"/>
        <v>0.5224985647159488</v>
      </c>
      <c r="C8" s="22">
        <f t="shared" si="3"/>
        <v>0.72</v>
      </c>
      <c r="D8" s="22">
        <f t="shared" si="0"/>
        <v>-0.15643446504021649</v>
      </c>
      <c r="E8" s="24">
        <v>10.0625</v>
      </c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X8" s="26"/>
      <c r="Y8" s="26"/>
      <c r="Z8" s="10"/>
      <c r="AA8" s="10"/>
      <c r="AB8" s="10"/>
      <c r="AC8" s="10"/>
    </row>
    <row r="9" spans="1:29" ht="23.25" x14ac:dyDescent="0.25">
      <c r="A9" s="22">
        <f t="shared" si="2"/>
        <v>0.56000000000000005</v>
      </c>
      <c r="B9" s="22">
        <f t="shared" si="1"/>
        <v>0.92387953251128674</v>
      </c>
      <c r="C9" s="22">
        <f t="shared" si="3"/>
        <v>0.84</v>
      </c>
      <c r="D9" s="22">
        <f t="shared" si="0"/>
        <v>0.45399049973955025</v>
      </c>
      <c r="E9" s="24">
        <v>10.0625</v>
      </c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21" t="s">
        <v>10</v>
      </c>
      <c r="W9" s="25">
        <v>10</v>
      </c>
      <c r="X9" s="10"/>
      <c r="Y9" s="10"/>
      <c r="Z9" s="10"/>
      <c r="AA9" s="10"/>
      <c r="AB9" s="10"/>
      <c r="AC9" s="10"/>
    </row>
    <row r="10" spans="1:29" x14ac:dyDescent="0.25">
      <c r="A10" s="22">
        <f t="shared" si="2"/>
        <v>0.64</v>
      </c>
      <c r="B10" s="22">
        <f t="shared" si="1"/>
        <v>0.972369920397677</v>
      </c>
      <c r="C10" s="22">
        <f t="shared" si="3"/>
        <v>0.96</v>
      </c>
      <c r="D10" s="22">
        <f t="shared" si="0"/>
        <v>0.89100652418837123</v>
      </c>
      <c r="E10" s="24">
        <v>10.0625</v>
      </c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</row>
    <row r="11" spans="1:29" x14ac:dyDescent="0.25">
      <c r="A11" s="22">
        <f t="shared" si="2"/>
        <v>0.72</v>
      </c>
      <c r="B11" s="22">
        <f t="shared" si="1"/>
        <v>0.64944804833018444</v>
      </c>
      <c r="C11" s="22">
        <f t="shared" si="3"/>
        <v>1.08</v>
      </c>
      <c r="D11" s="22">
        <f t="shared" si="0"/>
        <v>0.98768834059513821</v>
      </c>
      <c r="E11" s="24">
        <v>10.0625</v>
      </c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</row>
    <row r="12" spans="1:29" x14ac:dyDescent="0.25">
      <c r="A12" s="22">
        <f t="shared" si="2"/>
        <v>0.79999999999999993</v>
      </c>
      <c r="B12" s="22">
        <f t="shared" si="1"/>
        <v>7.8459095727846026E-2</v>
      </c>
      <c r="C12" s="22">
        <f t="shared" si="3"/>
        <v>1.2000000000000002</v>
      </c>
      <c r="D12" s="22">
        <f t="shared" si="0"/>
        <v>0.70710678118654735</v>
      </c>
      <c r="E12" s="24">
        <v>10.0625</v>
      </c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</row>
    <row r="13" spans="1:29" x14ac:dyDescent="0.25">
      <c r="A13" s="22">
        <f t="shared" si="2"/>
        <v>0.87999999999999989</v>
      </c>
      <c r="B13" s="22">
        <f t="shared" si="1"/>
        <v>-0.52249856471594713</v>
      </c>
      <c r="C13" s="22">
        <f t="shared" si="3"/>
        <v>1.3200000000000003</v>
      </c>
      <c r="D13" s="22">
        <f t="shared" si="0"/>
        <v>0.15643446504021311</v>
      </c>
      <c r="E13" s="24">
        <v>10.0625</v>
      </c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</row>
    <row r="14" spans="1:29" x14ac:dyDescent="0.25">
      <c r="A14" s="22">
        <f t="shared" si="2"/>
        <v>0.95999999999999985</v>
      </c>
      <c r="B14" s="22">
        <f t="shared" si="1"/>
        <v>-0.92387953251128563</v>
      </c>
      <c r="C14" s="22">
        <f t="shared" si="3"/>
        <v>1.4400000000000004</v>
      </c>
      <c r="D14" s="22">
        <f t="shared" si="0"/>
        <v>-0.45399049973954064</v>
      </c>
      <c r="E14" s="24">
        <v>10.0625</v>
      </c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</row>
    <row r="15" spans="1:29" x14ac:dyDescent="0.25">
      <c r="A15" s="22">
        <f t="shared" si="2"/>
        <v>1.0399999999999998</v>
      </c>
      <c r="B15" s="22">
        <f t="shared" si="1"/>
        <v>-0.97236992039767745</v>
      </c>
      <c r="C15" s="22">
        <f t="shared" si="3"/>
        <v>1.5600000000000005</v>
      </c>
      <c r="D15" s="22">
        <f t="shared" si="0"/>
        <v>-0.89100652418837278</v>
      </c>
      <c r="E15" s="24">
        <v>10.0625</v>
      </c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</row>
    <row r="16" spans="1:29" x14ac:dyDescent="0.25">
      <c r="A16" s="22">
        <f t="shared" si="2"/>
        <v>1.1199999999999999</v>
      </c>
      <c r="B16" s="22">
        <f t="shared" si="1"/>
        <v>-0.64944804833018588</v>
      </c>
      <c r="C16" s="22">
        <f t="shared" si="3"/>
        <v>1.6800000000000006</v>
      </c>
      <c r="D16" s="22">
        <f t="shared" si="0"/>
        <v>-0.98768834059513544</v>
      </c>
      <c r="E16" s="24">
        <v>10.0625</v>
      </c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</row>
    <row r="17" spans="1:29" x14ac:dyDescent="0.25">
      <c r="A17" s="22">
        <f t="shared" si="2"/>
        <v>1.2</v>
      </c>
      <c r="B17" s="22">
        <f t="shared" si="1"/>
        <v>-7.8459095727847469E-2</v>
      </c>
      <c r="C17" s="22">
        <f t="shared" si="3"/>
        <v>1.8000000000000007</v>
      </c>
      <c r="D17" s="22">
        <f t="shared" si="0"/>
        <v>-0.70710678118654491</v>
      </c>
      <c r="E17" s="24">
        <v>10.0625</v>
      </c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</row>
    <row r="18" spans="1:29" x14ac:dyDescent="0.25">
      <c r="A18" s="22">
        <f t="shared" si="2"/>
        <v>1.28</v>
      </c>
      <c r="B18" s="22">
        <f t="shared" si="1"/>
        <v>0.52249856471594747</v>
      </c>
      <c r="C18" s="22">
        <f t="shared" si="3"/>
        <v>1.9200000000000008</v>
      </c>
      <c r="D18" s="22">
        <f t="shared" si="0"/>
        <v>-0.15643446504022376</v>
      </c>
      <c r="E18" s="24">
        <v>10.0625</v>
      </c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</row>
    <row r="19" spans="1:29" x14ac:dyDescent="0.25">
      <c r="A19" s="22">
        <f t="shared" si="2"/>
        <v>1.36</v>
      </c>
      <c r="B19" s="22">
        <f t="shared" si="1"/>
        <v>0.92387953251128629</v>
      </c>
      <c r="C19" s="22">
        <f t="shared" si="3"/>
        <v>2.0400000000000009</v>
      </c>
      <c r="D19" s="22">
        <f t="shared" si="0"/>
        <v>0.4539904997395437</v>
      </c>
      <c r="E19" s="24">
        <v>10.0625</v>
      </c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</row>
    <row r="20" spans="1:29" x14ac:dyDescent="0.25">
      <c r="A20" s="22">
        <f t="shared" si="2"/>
        <v>1.4400000000000002</v>
      </c>
      <c r="B20" s="22">
        <f t="shared" si="1"/>
        <v>0.97236992039767678</v>
      </c>
      <c r="C20" s="22">
        <f t="shared" si="3"/>
        <v>2.160000000000001</v>
      </c>
      <c r="D20" s="22">
        <f t="shared" si="0"/>
        <v>0.89100652418837434</v>
      </c>
      <c r="E20" s="24">
        <v>10.0625</v>
      </c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</row>
    <row r="21" spans="1:29" x14ac:dyDescent="0.25">
      <c r="A21" s="22">
        <f t="shared" si="2"/>
        <v>1.5200000000000002</v>
      </c>
      <c r="B21" s="22">
        <f t="shared" si="1"/>
        <v>0.64944804833018388</v>
      </c>
      <c r="C21" s="22">
        <f t="shared" si="3"/>
        <v>2.2800000000000011</v>
      </c>
      <c r="D21" s="22">
        <f t="shared" si="0"/>
        <v>0.98768834059513499</v>
      </c>
      <c r="E21" s="24">
        <v>10.0625</v>
      </c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</row>
    <row r="22" spans="1:29" x14ac:dyDescent="0.25">
      <c r="A22" s="22">
        <f t="shared" si="2"/>
        <v>1.6000000000000003</v>
      </c>
      <c r="B22" s="22">
        <f t="shared" si="1"/>
        <v>7.8459095727843264E-2</v>
      </c>
      <c r="C22" s="22">
        <f t="shared" si="3"/>
        <v>2.4000000000000012</v>
      </c>
      <c r="D22" s="22">
        <f t="shared" si="0"/>
        <v>0.70710678118654247</v>
      </c>
      <c r="E22" s="24">
        <v>10.0625</v>
      </c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</row>
    <row r="23" spans="1:29" x14ac:dyDescent="0.25">
      <c r="A23" s="35"/>
      <c r="B23" s="35"/>
      <c r="C23" s="35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</row>
    <row r="24" spans="1:29" x14ac:dyDescent="0.25">
      <c r="A24" s="35"/>
      <c r="B24" s="35"/>
      <c r="C24" s="3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</row>
    <row r="25" spans="1:29" x14ac:dyDescent="0.25">
      <c r="A25" s="1"/>
      <c r="B25" s="1"/>
      <c r="C25" s="1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</row>
    <row r="26" spans="1:29" x14ac:dyDescent="0.25">
      <c r="A26" s="1"/>
      <c r="B26" s="1"/>
      <c r="C26" s="1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</row>
    <row r="27" spans="1:29" x14ac:dyDescent="0.25">
      <c r="A27" s="1"/>
      <c r="B27" s="1"/>
      <c r="C27" s="1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</row>
    <row r="28" spans="1:29" x14ac:dyDescent="0.25">
      <c r="A28" s="1"/>
      <c r="B28" s="1"/>
      <c r="C28" s="1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</row>
    <row r="29" spans="1:29" x14ac:dyDescent="0.25">
      <c r="A29" s="1"/>
      <c r="B29" s="1"/>
      <c r="C29" s="1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</row>
    <row r="30" spans="1:29" x14ac:dyDescent="0.25">
      <c r="A30" s="1"/>
      <c r="B30" s="1"/>
      <c r="C30" s="1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</row>
    <row r="31" spans="1:29" x14ac:dyDescent="0.25">
      <c r="A31" s="1"/>
      <c r="B31" s="1"/>
      <c r="C31" s="1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</row>
    <row r="32" spans="1:29" x14ac:dyDescent="0.25">
      <c r="A32" s="1"/>
      <c r="B32" s="1"/>
      <c r="C32" s="1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</row>
    <row r="33" spans="1:29" x14ac:dyDescent="0.25">
      <c r="A33" s="1"/>
      <c r="B33" s="1"/>
      <c r="C33" s="1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</row>
    <row r="34" spans="1:29" x14ac:dyDescent="0.25">
      <c r="A34" s="1"/>
      <c r="B34" s="1"/>
      <c r="C34" s="1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</row>
    <row r="35" spans="1:29" x14ac:dyDescent="0.25">
      <c r="A35" s="1"/>
      <c r="B35" s="1"/>
      <c r="C35" s="1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</row>
    <row r="36" spans="1:29" x14ac:dyDescent="0.25">
      <c r="A36" s="1"/>
      <c r="B36" s="1"/>
      <c r="C36" s="1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</row>
    <row r="37" spans="1:29" x14ac:dyDescent="0.25">
      <c r="A37" s="1"/>
      <c r="B37" s="1"/>
      <c r="C37" s="1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</row>
    <row r="38" spans="1:29" x14ac:dyDescent="0.25">
      <c r="A38" s="1"/>
      <c r="B38" s="1"/>
      <c r="C38" s="1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</row>
    <row r="39" spans="1:29" x14ac:dyDescent="0.25">
      <c r="A39" s="1"/>
      <c r="B39" s="1"/>
      <c r="C39" s="1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</row>
    <row r="40" spans="1:29" x14ac:dyDescent="0.25">
      <c r="A40" s="1"/>
      <c r="B40" s="1"/>
      <c r="C40" s="1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</row>
    <row r="41" spans="1:29" x14ac:dyDescent="0.25">
      <c r="A41" s="1"/>
      <c r="B41" s="1"/>
      <c r="C41" s="1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</row>
    <row r="42" spans="1:29" x14ac:dyDescent="0.25">
      <c r="A42" s="1"/>
      <c r="B42" s="1"/>
      <c r="C42" s="1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</row>
    <row r="43" spans="1:29" x14ac:dyDescent="0.25">
      <c r="A43" s="1"/>
      <c r="B43" s="1"/>
      <c r="C43" s="1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</row>
    <row r="44" spans="1:29" x14ac:dyDescent="0.25">
      <c r="A44" s="1"/>
      <c r="B44" s="1"/>
      <c r="C44" s="1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</row>
    <row r="45" spans="1:29" x14ac:dyDescent="0.25">
      <c r="A45" s="1"/>
      <c r="B45" s="1"/>
      <c r="C45" s="1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</row>
    <row r="46" spans="1:29" x14ac:dyDescent="0.25">
      <c r="A46" s="1"/>
      <c r="B46" s="1"/>
      <c r="C46" s="1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</row>
    <row r="47" spans="1:29" x14ac:dyDescent="0.25">
      <c r="A47" s="1"/>
      <c r="B47" s="1"/>
      <c r="C47" s="1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</row>
    <row r="48" spans="1:29" x14ac:dyDescent="0.25">
      <c r="A48" s="1"/>
      <c r="B48" s="1"/>
      <c r="C48" s="1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</row>
    <row r="49" spans="1:27" x14ac:dyDescent="0.25">
      <c r="A49" s="1"/>
      <c r="B49" s="1"/>
      <c r="C49" s="1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</row>
    <row r="50" spans="1:27" x14ac:dyDescent="0.25">
      <c r="A50" s="1"/>
      <c r="B50" s="1"/>
      <c r="C50" s="1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</row>
    <row r="51" spans="1:27" x14ac:dyDescent="0.25">
      <c r="A51" s="1"/>
      <c r="B51" s="1"/>
      <c r="C51" s="1"/>
    </row>
    <row r="52" spans="1:27" x14ac:dyDescent="0.25">
      <c r="A52" s="1"/>
      <c r="B52" s="1"/>
      <c r="C52" s="1"/>
    </row>
    <row r="53" spans="1:27" x14ac:dyDescent="0.25">
      <c r="A53" s="1"/>
      <c r="B53" s="1"/>
      <c r="C53" s="1"/>
    </row>
    <row r="54" spans="1:27" x14ac:dyDescent="0.25">
      <c r="A54" s="1"/>
      <c r="B54" s="1"/>
      <c r="C54" s="1"/>
    </row>
    <row r="55" spans="1:27" x14ac:dyDescent="0.25">
      <c r="A55" s="1"/>
      <c r="B55" s="1"/>
      <c r="C55" s="1"/>
    </row>
    <row r="56" spans="1:27" x14ac:dyDescent="0.25">
      <c r="A56" s="1"/>
      <c r="B56" s="1"/>
      <c r="C56" s="1"/>
    </row>
    <row r="57" spans="1:27" x14ac:dyDescent="0.25">
      <c r="A57" s="1"/>
      <c r="B57" s="1"/>
      <c r="C57" s="1"/>
    </row>
    <row r="58" spans="1:27" x14ac:dyDescent="0.25">
      <c r="A58" s="1"/>
      <c r="B58" s="1"/>
      <c r="C58" s="1"/>
    </row>
    <row r="59" spans="1:27" x14ac:dyDescent="0.25">
      <c r="A59" s="1"/>
      <c r="B59" s="1"/>
      <c r="C59" s="1"/>
    </row>
    <row r="60" spans="1:27" x14ac:dyDescent="0.25">
      <c r="A60" s="1"/>
      <c r="B60" s="1"/>
      <c r="C60" s="1"/>
    </row>
    <row r="61" spans="1:27" x14ac:dyDescent="0.25">
      <c r="A61" s="1"/>
      <c r="B61" s="1"/>
      <c r="C61" s="1"/>
    </row>
    <row r="62" spans="1:27" x14ac:dyDescent="0.25">
      <c r="A62" s="1"/>
      <c r="B62" s="1"/>
      <c r="C62" s="1"/>
    </row>
    <row r="63" spans="1:27" x14ac:dyDescent="0.25">
      <c r="A63" s="1"/>
      <c r="B63" s="1"/>
      <c r="C63" s="1"/>
    </row>
    <row r="64" spans="1:27" x14ac:dyDescent="0.25">
      <c r="A64" s="1"/>
      <c r="B64" s="1"/>
      <c r="C64" s="1"/>
    </row>
    <row r="65" spans="1:3" x14ac:dyDescent="0.25">
      <c r="A65" s="1"/>
      <c r="B65" s="1"/>
      <c r="C65" s="1"/>
    </row>
    <row r="66" spans="1:3" x14ac:dyDescent="0.25">
      <c r="A66" s="1"/>
      <c r="B66" s="1"/>
      <c r="C66" s="1"/>
    </row>
    <row r="67" spans="1:3" x14ac:dyDescent="0.25">
      <c r="A67" s="1"/>
      <c r="B67" s="1"/>
      <c r="C67" s="1"/>
    </row>
    <row r="68" spans="1:3" x14ac:dyDescent="0.25">
      <c r="A68" s="1"/>
      <c r="B68" s="1"/>
      <c r="C68" s="1"/>
    </row>
    <row r="69" spans="1:3" x14ac:dyDescent="0.25">
      <c r="A69" s="1"/>
      <c r="B69" s="1"/>
      <c r="C69" s="1"/>
    </row>
    <row r="70" spans="1:3" x14ac:dyDescent="0.25">
      <c r="A70" s="1"/>
      <c r="B70" s="1"/>
      <c r="C70" s="1"/>
    </row>
    <row r="71" spans="1:3" x14ac:dyDescent="0.25">
      <c r="A71" s="1"/>
      <c r="B71" s="1"/>
      <c r="C71" s="1"/>
    </row>
    <row r="72" spans="1:3" x14ac:dyDescent="0.25">
      <c r="A72" s="1"/>
      <c r="B72" s="1"/>
      <c r="C72" s="1"/>
    </row>
    <row r="73" spans="1:3" x14ac:dyDescent="0.25">
      <c r="A73" s="1"/>
      <c r="B73" s="1"/>
      <c r="C73" s="1"/>
    </row>
    <row r="74" spans="1:3" x14ac:dyDescent="0.25">
      <c r="A74" s="1"/>
      <c r="B74" s="1"/>
      <c r="C74" s="1"/>
    </row>
    <row r="75" spans="1:3" x14ac:dyDescent="0.25">
      <c r="A75" s="1"/>
      <c r="B75" s="1"/>
      <c r="C75" s="1"/>
    </row>
    <row r="76" spans="1:3" x14ac:dyDescent="0.25">
      <c r="A76" s="1"/>
      <c r="B76" s="1"/>
      <c r="C76" s="1"/>
    </row>
    <row r="77" spans="1:3" x14ac:dyDescent="0.25">
      <c r="A77" s="1"/>
      <c r="B77" s="1"/>
      <c r="C77" s="1"/>
    </row>
    <row r="78" spans="1:3" x14ac:dyDescent="0.25">
      <c r="A78" s="1"/>
      <c r="B78" s="1"/>
      <c r="C78" s="1"/>
    </row>
    <row r="79" spans="1:3" x14ac:dyDescent="0.25">
      <c r="A79" s="1"/>
      <c r="B79" s="1"/>
      <c r="C79" s="1"/>
    </row>
    <row r="80" spans="1:3" x14ac:dyDescent="0.25">
      <c r="A80" s="1"/>
      <c r="B80" s="1"/>
      <c r="C80" s="1"/>
    </row>
    <row r="81" spans="1:3" x14ac:dyDescent="0.25">
      <c r="A81" s="1"/>
      <c r="B81" s="1"/>
      <c r="C81" s="1"/>
    </row>
    <row r="82" spans="1:3" x14ac:dyDescent="0.25">
      <c r="A82" s="1"/>
      <c r="B82" s="1"/>
      <c r="C82" s="1"/>
    </row>
    <row r="83" spans="1:3" x14ac:dyDescent="0.25">
      <c r="A83" s="1"/>
      <c r="B83" s="1"/>
      <c r="C83" s="1"/>
    </row>
    <row r="84" spans="1:3" x14ac:dyDescent="0.25">
      <c r="A84" s="1"/>
      <c r="B84" s="1"/>
      <c r="C84" s="1"/>
    </row>
    <row r="85" spans="1:3" x14ac:dyDescent="0.25">
      <c r="A85" s="1"/>
      <c r="B85" s="1"/>
      <c r="C85" s="1"/>
    </row>
    <row r="86" spans="1:3" x14ac:dyDescent="0.25">
      <c r="A86" s="1"/>
      <c r="B86" s="1"/>
      <c r="C86" s="1"/>
    </row>
    <row r="87" spans="1:3" x14ac:dyDescent="0.25">
      <c r="A87" s="1"/>
      <c r="B87" s="1"/>
      <c r="C87" s="1"/>
    </row>
    <row r="88" spans="1:3" x14ac:dyDescent="0.25">
      <c r="A88" s="1"/>
      <c r="B88" s="1"/>
      <c r="C88" s="1"/>
    </row>
    <row r="89" spans="1:3" x14ac:dyDescent="0.25">
      <c r="A89" s="1"/>
      <c r="B89" s="1"/>
      <c r="C89" s="1"/>
    </row>
    <row r="90" spans="1:3" x14ac:dyDescent="0.25">
      <c r="A90" s="1"/>
      <c r="B90" s="1"/>
      <c r="C90" s="1"/>
    </row>
    <row r="91" spans="1:3" x14ac:dyDescent="0.25">
      <c r="A91" s="1"/>
      <c r="B91" s="1"/>
      <c r="C91" s="1"/>
    </row>
    <row r="92" spans="1:3" x14ac:dyDescent="0.25">
      <c r="A92" s="1"/>
      <c r="B92" s="1"/>
      <c r="C92" s="1"/>
    </row>
    <row r="93" spans="1:3" x14ac:dyDescent="0.25">
      <c r="A93" s="1"/>
      <c r="B93" s="1"/>
      <c r="C93" s="1"/>
    </row>
    <row r="94" spans="1:3" x14ac:dyDescent="0.25">
      <c r="A94" s="1"/>
      <c r="B94" s="1"/>
      <c r="C94" s="1"/>
    </row>
    <row r="95" spans="1:3" x14ac:dyDescent="0.25">
      <c r="A95" s="1"/>
      <c r="B95" s="1"/>
      <c r="C95" s="1"/>
    </row>
    <row r="96" spans="1:3" x14ac:dyDescent="0.25">
      <c r="A96" s="1"/>
      <c r="B96" s="1"/>
      <c r="C96" s="1"/>
    </row>
    <row r="97" spans="1:3" x14ac:dyDescent="0.25">
      <c r="A97" s="1"/>
      <c r="B97" s="1"/>
      <c r="C97" s="1"/>
    </row>
    <row r="98" spans="1:3" x14ac:dyDescent="0.25">
      <c r="A98" s="1"/>
      <c r="B98" s="1"/>
      <c r="C98" s="1"/>
    </row>
    <row r="99" spans="1:3" x14ac:dyDescent="0.25">
      <c r="A99" s="1"/>
      <c r="B99" s="1"/>
      <c r="C99" s="1"/>
    </row>
    <row r="100" spans="1:3" x14ac:dyDescent="0.25">
      <c r="A100" s="1"/>
      <c r="B100" s="1"/>
      <c r="C100" s="1"/>
    </row>
    <row r="101" spans="1:3" x14ac:dyDescent="0.25">
      <c r="A101" s="1"/>
      <c r="B101" s="1"/>
      <c r="C101" s="1"/>
    </row>
    <row r="102" spans="1:3" x14ac:dyDescent="0.25">
      <c r="A102" s="1"/>
      <c r="B102" s="1"/>
      <c r="C102" s="1"/>
    </row>
    <row r="104" spans="1:3" x14ac:dyDescent="0.25">
      <c r="A104" s="1"/>
    </row>
  </sheetData>
  <mergeCells count="4">
    <mergeCell ref="V1:W1"/>
    <mergeCell ref="A23:C23"/>
    <mergeCell ref="A24:B24"/>
    <mergeCell ref="V5:W5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6A0C1BE20D5E81409340BFBE0540F71B" ma:contentTypeVersion="9" ma:contentTypeDescription="Crie um novo documento." ma:contentTypeScope="" ma:versionID="bb53ed1606f88bd3ba3d9ebeccc198f2">
  <xsd:schema xmlns:xsd="http://www.w3.org/2001/XMLSchema" xmlns:xs="http://www.w3.org/2001/XMLSchema" xmlns:p="http://schemas.microsoft.com/office/2006/metadata/properties" xmlns:ns3="61cef99f-748f-4e66-bee2-96e3fa1c4d38" targetNamespace="http://schemas.microsoft.com/office/2006/metadata/properties" ma:root="true" ma:fieldsID="c3a3142f294b7721cf9a62dbf4b3b198" ns3:_="">
    <xsd:import namespace="61cef99f-748f-4e66-bee2-96e3fa1c4d38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MediaServiceSearchProperties" minOccurs="0"/>
                <xsd:element ref="ns3:MediaServiceDateTaken" minOccurs="0"/>
                <xsd:element ref="ns3:MediaServiceSystemTags" minOccurs="0"/>
                <xsd:element ref="ns3:MediaServiceGenerationTime" minOccurs="0"/>
                <xsd:element ref="ns3:MediaServiceEventHashCode" minOccurs="0"/>
                <xsd:element ref="ns3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1cef99f-748f-4e66-bee2-96e3fa1c4d3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ystemTags" ma:index="13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1735D62-FD42-4113-A6F6-5FD031C3B53F}">
  <ds:schemaRefs>
    <ds:schemaRef ds:uri="http://schemas.microsoft.com/office/2006/metadata/properties"/>
    <ds:schemaRef ds:uri="http://schemas.microsoft.com/office/infopath/2007/PartnerControls"/>
    <ds:schemaRef ds:uri="http://www.w3.org/XML/1998/namespace"/>
    <ds:schemaRef ds:uri="http://schemas.microsoft.com/office/2006/documentManagement/types"/>
    <ds:schemaRef ds:uri="http://purl.org/dc/terms/"/>
    <ds:schemaRef ds:uri="61cef99f-748f-4e66-bee2-96e3fa1c4d38"/>
    <ds:schemaRef ds:uri="http://purl.org/dc/dcmitype/"/>
    <ds:schemaRef ds:uri="http://schemas.openxmlformats.org/package/2006/metadata/core-properties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26CB6E3D-E841-4F7B-BDFD-3401CAE9473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1cef99f-748f-4e66-bee2-96e3fa1c4d3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94E70D3E-834D-49E4-A49C-47929563553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Consulta Com Taylor</vt:lpstr>
      <vt:lpstr>Consulta</vt:lpstr>
      <vt:lpstr>Comparador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GABRIEL DE MORAIS SOUZA</dc:creator>
  <cp:lastModifiedBy>JOSE GABRIEL DE MORAIS SOUZA</cp:lastModifiedBy>
  <dcterms:created xsi:type="dcterms:W3CDTF">2024-10-05T13:22:25Z</dcterms:created>
  <dcterms:modified xsi:type="dcterms:W3CDTF">2024-11-10T00:40:51Z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0x0101006A0C1BE20D5E81409340BFBE0540F71B</vt:lpwstr>
  </property>
</Properties>
</file>