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4766B19C-F71E-4C0B-840E-5831DA2AFE7C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" sheetId="2" r:id="rId1"/>
    <sheet name="Comparado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3" i="2"/>
  <c r="A4" i="2" s="1"/>
  <c r="B4" i="2" s="1"/>
  <c r="B2" i="2"/>
  <c r="C4" i="4" l="1"/>
  <c r="B3" i="4"/>
  <c r="A5" i="4"/>
  <c r="B5" i="4" s="1"/>
  <c r="B3" i="2"/>
  <c r="A5" i="2"/>
  <c r="B5" i="2" s="1"/>
  <c r="D4" i="4" l="1"/>
  <c r="C5" i="4"/>
  <c r="A6" i="4"/>
  <c r="B6" i="4" s="1"/>
  <c r="A6" i="2"/>
  <c r="B6" i="2" s="1"/>
  <c r="C6" i="4" l="1"/>
  <c r="D5" i="4"/>
  <c r="A7" i="4"/>
  <c r="B7" i="4" s="1"/>
  <c r="A7" i="2"/>
  <c r="B7" i="2" s="1"/>
  <c r="C7" i="4" l="1"/>
  <c r="D6" i="4"/>
  <c r="A8" i="4"/>
  <c r="B8" i="4" s="1"/>
  <c r="A8" i="2"/>
  <c r="B8" i="2" s="1"/>
  <c r="C8" i="4" l="1"/>
  <c r="D7" i="4"/>
  <c r="A9" i="4"/>
  <c r="B9" i="4" s="1"/>
  <c r="A9" i="2"/>
  <c r="B9" i="2" s="1"/>
  <c r="C9" i="4" l="1"/>
  <c r="D8" i="4"/>
  <c r="A10" i="4"/>
  <c r="B10" i="4" s="1"/>
  <c r="A10" i="2"/>
  <c r="B10" i="2" s="1"/>
  <c r="C10" i="4" l="1"/>
  <c r="D9" i="4"/>
  <c r="A11" i="4"/>
  <c r="B11" i="4" s="1"/>
  <c r="A11" i="2"/>
  <c r="B11" i="2" s="1"/>
  <c r="C11" i="4" l="1"/>
  <c r="D10" i="4"/>
  <c r="A12" i="4"/>
  <c r="B12" i="4" s="1"/>
  <c r="A12" i="2"/>
  <c r="C12" i="4" l="1"/>
  <c r="D11" i="4"/>
  <c r="A13" i="4"/>
  <c r="B13" i="4" s="1"/>
  <c r="B12" i="2"/>
  <c r="A13" i="2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<sst xmlns="http://schemas.openxmlformats.org/spreadsheetml/2006/main" count="23" uniqueCount="14">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</sst>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6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0.22000000000000003</c:v>
                </c:pt>
                <c:pt idx="2">
                  <c:v>0.44000000000000006</c:v>
                </c:pt>
                <c:pt idx="3">
                  <c:v>0.66000000000000014</c:v>
                </c:pt>
                <c:pt idx="4">
                  <c:v>0.88000000000000012</c:v>
                </c:pt>
                <c:pt idx="5">
                  <c:v>1.1000000000000001</c:v>
                </c:pt>
                <c:pt idx="6">
                  <c:v>1.32</c:v>
                </c:pt>
                <c:pt idx="7">
                  <c:v>1.54</c:v>
                </c:pt>
                <c:pt idx="8">
                  <c:v>1.76</c:v>
                </c:pt>
                <c:pt idx="9">
                  <c:v>1.98</c:v>
                </c:pt>
                <c:pt idx="10">
                  <c:v>2.2000000000000002</c:v>
                </c:pt>
                <c:pt idx="11">
                  <c:v>2.4200000000000004</c:v>
                </c:pt>
                <c:pt idx="12">
                  <c:v>2.6400000000000006</c:v>
                </c:pt>
                <c:pt idx="13">
                  <c:v>2.8600000000000008</c:v>
                </c:pt>
                <c:pt idx="14">
                  <c:v>3.080000000000001</c:v>
                </c:pt>
                <c:pt idx="15">
                  <c:v>3.3000000000000012</c:v>
                </c:pt>
                <c:pt idx="16">
                  <c:v>3.5200000000000014</c:v>
                </c:pt>
                <c:pt idx="17">
                  <c:v>3.7400000000000015</c:v>
                </c:pt>
                <c:pt idx="18">
                  <c:v>3.9600000000000017</c:v>
                </c:pt>
                <c:pt idx="19">
                  <c:v>4.1800000000000015</c:v>
                </c:pt>
                <c:pt idx="20">
                  <c:v>4.4000000000000012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-0.70710678118771619</c:v>
                </c:pt>
                <c:pt idx="1">
                  <c:v>-0.98768834059546351</c:v>
                </c:pt>
                <c:pt idx="2">
                  <c:v>-0.89100652418887882</c:v>
                </c:pt>
                <c:pt idx="3">
                  <c:v>-0.45399049973692523</c:v>
                </c:pt>
                <c:pt idx="4">
                  <c:v>0.15643446503996827</c:v>
                </c:pt>
                <c:pt idx="5">
                  <c:v>0.70710678118666348</c:v>
                </c:pt>
                <c:pt idx="6">
                  <c:v>0.98768834059579969</c:v>
                </c:pt>
                <c:pt idx="7">
                  <c:v>0.89100652418790316</c:v>
                </c:pt>
                <c:pt idx="8">
                  <c:v>0.45399049973825167</c:v>
                </c:pt>
                <c:pt idx="9">
                  <c:v>-0.15643446503849789</c:v>
                </c:pt>
                <c:pt idx="10">
                  <c:v>-0.70710678118818326</c:v>
                </c:pt>
                <c:pt idx="11">
                  <c:v>-0.98768834059556687</c:v>
                </c:pt>
                <c:pt idx="12">
                  <c:v>-0.89100652418857895</c:v>
                </c:pt>
                <c:pt idx="13">
                  <c:v>-0.45399049973633665</c:v>
                </c:pt>
                <c:pt idx="14">
                  <c:v>0.1564344650406207</c:v>
                </c:pt>
                <c:pt idx="15">
                  <c:v>0.70710678118713055</c:v>
                </c:pt>
                <c:pt idx="16">
                  <c:v>0.98768834059590305</c:v>
                </c:pt>
                <c:pt idx="17">
                  <c:v>0.89100652418760318</c:v>
                </c:pt>
                <c:pt idx="18">
                  <c:v>0.45399049973766309</c:v>
                </c:pt>
                <c:pt idx="19">
                  <c:v>-0.15643446503915032</c:v>
                </c:pt>
                <c:pt idx="20">
                  <c:v>-0.70710678118607784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0.85772861000026679</c:v>
                </c:pt>
                <c:pt idx="1">
                  <c:v>0.39173501085194334</c:v>
                </c:pt>
                <c:pt idx="2">
                  <c:v>-0.22388804785850139</c:v>
                </c:pt>
                <c:pt idx="3">
                  <c:v>-0.75399348196187377</c:v>
                </c:pt>
                <c:pt idx="4">
                  <c:v>-0.99609903325168681</c:v>
                </c:pt>
                <c:pt idx="5">
                  <c:v>-0.85772861000027234</c:v>
                </c:pt>
                <c:pt idx="6">
                  <c:v>-0.39173501085194018</c:v>
                </c:pt>
                <c:pt idx="7">
                  <c:v>0.22388804785850472</c:v>
                </c:pt>
                <c:pt idx="8">
                  <c:v>0.7539934819618761</c:v>
                </c:pt>
                <c:pt idx="9">
                  <c:v>0.99609903325168714</c:v>
                </c:pt>
                <c:pt idx="10">
                  <c:v>0.85772861000027056</c:v>
                </c:pt>
                <c:pt idx="11">
                  <c:v>0.39173501085193702</c:v>
                </c:pt>
                <c:pt idx="12">
                  <c:v>-0.22388804785849423</c:v>
                </c:pt>
                <c:pt idx="13">
                  <c:v>-0.75399348196187832</c:v>
                </c:pt>
                <c:pt idx="14">
                  <c:v>-0.99609903325168869</c:v>
                </c:pt>
                <c:pt idx="15">
                  <c:v>-0.85772861000026879</c:v>
                </c:pt>
                <c:pt idx="16">
                  <c:v>-0.39173501085194695</c:v>
                </c:pt>
                <c:pt idx="17">
                  <c:v>0.22388804785849756</c:v>
                </c:pt>
                <c:pt idx="18">
                  <c:v>0.75399348196187121</c:v>
                </c:pt>
                <c:pt idx="19">
                  <c:v>0.99609903325168903</c:v>
                </c:pt>
                <c:pt idx="20">
                  <c:v>0.85772861000026712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0.10290104142069685</c:v>
                </c:pt>
                <c:pt idx="1">
                  <c:v>-0.50141636079576835</c:v>
                </c:pt>
                <c:pt idx="2">
                  <c:v>-0.91420975570353036</c:v>
                </c:pt>
                <c:pt idx="3">
                  <c:v>-0.97780609677928176</c:v>
                </c:pt>
                <c:pt idx="4">
                  <c:v>-0.66791374329221675</c:v>
                </c:pt>
                <c:pt idx="5">
                  <c:v>-0.10290104142069698</c:v>
                </c:pt>
                <c:pt idx="6">
                  <c:v>0.50141636079576823</c:v>
                </c:pt>
                <c:pt idx="7">
                  <c:v>0.91420975570353102</c:v>
                </c:pt>
                <c:pt idx="8">
                  <c:v>0.97780609677928199</c:v>
                </c:pt>
                <c:pt idx="9">
                  <c:v>0.66791374329221687</c:v>
                </c:pt>
                <c:pt idx="10">
                  <c:v>0.1029010414206971</c:v>
                </c:pt>
                <c:pt idx="11">
                  <c:v>-0.50141636079576735</c:v>
                </c:pt>
                <c:pt idx="12">
                  <c:v>-0.91420975570352947</c:v>
                </c:pt>
                <c:pt idx="13">
                  <c:v>-0.97780609677928243</c:v>
                </c:pt>
                <c:pt idx="14">
                  <c:v>-0.6679137432922182</c:v>
                </c:pt>
                <c:pt idx="15">
                  <c:v>-0.10290104142069854</c:v>
                </c:pt>
                <c:pt idx="16">
                  <c:v>0.50141636079576724</c:v>
                </c:pt>
                <c:pt idx="17">
                  <c:v>0.91420975570353014</c:v>
                </c:pt>
                <c:pt idx="18">
                  <c:v>0.97780609677928176</c:v>
                </c:pt>
                <c:pt idx="19">
                  <c:v>0.6679137432922162</c:v>
                </c:pt>
                <c:pt idx="20">
                  <c:v>0.10290104142069442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X13" sqref="X13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1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-0.70710678118771619</v>
      </c>
      <c r="C2" s="24">
        <v>10.015625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440</v>
      </c>
      <c r="X2" s="10"/>
      <c r="Y2" s="10"/>
      <c r="Z2" s="10"/>
      <c r="AA2" s="10"/>
      <c r="AB2" s="10"/>
    </row>
    <row r="3" spans="1:28" ht="23.25" x14ac:dyDescent="0.25">
      <c r="A3" s="22">
        <f>$W$3/10</f>
        <v>0.22000000000000003</v>
      </c>
      <c r="B3" s="22">
        <f t="shared" ref="B3:B12" si="0">IFERROR(SIN(2*PI()*($W$2*C3-A3/$W$3)),0)</f>
        <v>-0.98768834059546351</v>
      </c>
      <c r="C3" s="24">
        <v>10.015625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2.2000000000000002</v>
      </c>
      <c r="X3" s="10"/>
      <c r="Y3" s="10"/>
      <c r="Z3" s="10"/>
      <c r="AA3" s="10"/>
      <c r="AB3" s="10"/>
    </row>
    <row r="4" spans="1:28" ht="23.25" x14ac:dyDescent="0.25">
      <c r="A4" s="22">
        <f>A3+$A$3</f>
        <v>0.44000000000000006</v>
      </c>
      <c r="B4" s="22">
        <f t="shared" si="0"/>
        <v>-0.89100652418887882</v>
      </c>
      <c r="C4" s="24">
        <v>10.015625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10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0.66000000000000014</v>
      </c>
      <c r="B5" s="22">
        <f t="shared" si="0"/>
        <v>-0.45399049973692523</v>
      </c>
      <c r="C5" s="24">
        <v>10.015625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968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0.88000000000000012</v>
      </c>
      <c r="B6" s="22">
        <f t="shared" si="0"/>
        <v>0.15643446503996827</v>
      </c>
      <c r="C6" s="24">
        <v>10.015625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1.1000000000000001</v>
      </c>
      <c r="B7" s="22">
        <f t="shared" si="0"/>
        <v>0.70710678118666348</v>
      </c>
      <c r="C7" s="24">
        <v>10.015625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1.32</v>
      </c>
      <c r="B8" s="22">
        <f t="shared" si="0"/>
        <v>0.98768834059579969</v>
      </c>
      <c r="C8" s="24">
        <v>10.015625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0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1.54</v>
      </c>
      <c r="B9" s="22">
        <f t="shared" si="0"/>
        <v>0.89100652418790316</v>
      </c>
      <c r="C9" s="24">
        <v>10.015625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0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1.76</v>
      </c>
      <c r="B10" s="22">
        <f t="shared" si="0"/>
        <v>0.45399049973825167</v>
      </c>
      <c r="C10" s="24">
        <v>10.015625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0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1.98</v>
      </c>
      <c r="B11" s="22">
        <f t="shared" si="0"/>
        <v>-0.15643446503849789</v>
      </c>
      <c r="C11" s="24">
        <v>10.015625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0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2.2000000000000002</v>
      </c>
      <c r="B12" s="22">
        <f t="shared" si="0"/>
        <v>-0.70710678118818326</v>
      </c>
      <c r="C12" s="24">
        <v>10.015625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0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2.4200000000000004</v>
      </c>
      <c r="B13" s="22">
        <f t="shared" ref="B13:B22" si="2">IFERROR(SIN(2*PI()*($W$2*C13-A13/$W$3)),0)</f>
        <v>-0.98768834059556687</v>
      </c>
      <c r="C13" s="24">
        <v>10.015625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0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2.6400000000000006</v>
      </c>
      <c r="B14" s="22">
        <f t="shared" si="2"/>
        <v>-0.89100652418857895</v>
      </c>
      <c r="C14" s="24">
        <v>10.015625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0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2.8600000000000008</v>
      </c>
      <c r="B15" s="22">
        <f t="shared" si="2"/>
        <v>-0.45399049973633665</v>
      </c>
      <c r="C15" s="24">
        <v>10.015625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3.080000000000001</v>
      </c>
      <c r="B16" s="22">
        <f t="shared" si="2"/>
        <v>0.1564344650406207</v>
      </c>
      <c r="C16" s="24">
        <v>10.015625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0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3.3000000000000012</v>
      </c>
      <c r="B17" s="22">
        <f t="shared" si="2"/>
        <v>0.70710678118713055</v>
      </c>
      <c r="C17" s="24">
        <v>10.015625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0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3.5200000000000014</v>
      </c>
      <c r="B18" s="22">
        <f t="shared" si="2"/>
        <v>0.98768834059590305</v>
      </c>
      <c r="C18" s="24">
        <v>10.015625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0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3.7400000000000015</v>
      </c>
      <c r="B19" s="22">
        <f t="shared" si="2"/>
        <v>0.89100652418760318</v>
      </c>
      <c r="C19" s="24">
        <v>10.015625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0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3.9600000000000017</v>
      </c>
      <c r="B20" s="22">
        <f t="shared" si="2"/>
        <v>0.45399049973766309</v>
      </c>
      <c r="C20" s="24">
        <v>10.015625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0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4.1800000000000015</v>
      </c>
      <c r="B21" s="22">
        <f t="shared" si="2"/>
        <v>-0.15643446503915032</v>
      </c>
      <c r="C21" s="24">
        <v>10.015625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0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4.4000000000000012</v>
      </c>
      <c r="B22" s="22">
        <f t="shared" si="2"/>
        <v>-0.70710678118607784</v>
      </c>
      <c r="C22" s="24">
        <v>10.015625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0"/>
      <c r="W22" s="10"/>
      <c r="X22" s="10"/>
      <c r="Y22" s="10"/>
      <c r="Z22" s="10"/>
      <c r="AA22" s="10"/>
      <c r="AB22" s="10"/>
    </row>
    <row r="23" spans="1:28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0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0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0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0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0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0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1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2" t="s">
        <v>8</v>
      </c>
      <c r="W1" s="33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0.10290104142069685</v>
      </c>
      <c r="C2" s="22">
        <v>0</v>
      </c>
      <c r="D2" s="22">
        <f t="shared" ref="D2:D22" si="0">SIN(2*PI()*($W$6*E2-C2/$W$7))</f>
        <v>0.85772861000026679</v>
      </c>
      <c r="E2" s="24">
        <v>10.08203125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-0.50141636079576835</v>
      </c>
      <c r="C3" s="22">
        <f>$W$7/10</f>
        <v>0.12</v>
      </c>
      <c r="D3" s="22">
        <f t="shared" si="0"/>
        <v>0.39173501085194334</v>
      </c>
      <c r="E3" s="24">
        <v>10.08203125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-0.91420975570353036</v>
      </c>
      <c r="C4" s="22">
        <f>C3+$C$3</f>
        <v>0.24</v>
      </c>
      <c r="D4" s="22">
        <f t="shared" si="0"/>
        <v>-0.22388804785850139</v>
      </c>
      <c r="E4" s="24">
        <v>10.08203125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-0.97780609677928176</v>
      </c>
      <c r="C5" s="22">
        <f t="shared" ref="C5:C22" si="3">C4+$C$3</f>
        <v>0.36</v>
      </c>
      <c r="D5" s="22">
        <f t="shared" si="0"/>
        <v>-0.75399348196187377</v>
      </c>
      <c r="E5" s="24">
        <v>10.08203125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4" t="s">
        <v>9</v>
      </c>
      <c r="W5" s="35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-0.66791374329221675</v>
      </c>
      <c r="C6" s="22">
        <f t="shared" si="3"/>
        <v>0.48</v>
      </c>
      <c r="D6" s="22">
        <f t="shared" si="0"/>
        <v>-0.99609903325168681</v>
      </c>
      <c r="E6" s="24">
        <v>10.08203125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-0.10290104142069698</v>
      </c>
      <c r="C7" s="22">
        <f t="shared" si="3"/>
        <v>0.6</v>
      </c>
      <c r="D7" s="22">
        <f t="shared" si="0"/>
        <v>-0.85772861000027234</v>
      </c>
      <c r="E7" s="24">
        <v>10.08203125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0.50141636079576823</v>
      </c>
      <c r="C8" s="22">
        <f t="shared" si="3"/>
        <v>0.72</v>
      </c>
      <c r="D8" s="22">
        <f t="shared" si="0"/>
        <v>-0.39173501085194018</v>
      </c>
      <c r="E8" s="24">
        <v>10.08203125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0.91420975570353102</v>
      </c>
      <c r="C9" s="22">
        <f t="shared" si="3"/>
        <v>0.84</v>
      </c>
      <c r="D9" s="22">
        <f t="shared" si="0"/>
        <v>0.22388804785850472</v>
      </c>
      <c r="E9" s="24">
        <v>10.08203125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0.97780609677928199</v>
      </c>
      <c r="C10" s="22">
        <f t="shared" si="3"/>
        <v>0.96</v>
      </c>
      <c r="D10" s="22">
        <f t="shared" si="0"/>
        <v>0.7539934819618761</v>
      </c>
      <c r="E10" s="24">
        <v>10.08203125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0.66791374329221687</v>
      </c>
      <c r="C11" s="22">
        <f t="shared" si="3"/>
        <v>1.08</v>
      </c>
      <c r="D11" s="22">
        <f t="shared" si="0"/>
        <v>0.99609903325168714</v>
      </c>
      <c r="E11" s="24">
        <v>10.08203125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0.1029010414206971</v>
      </c>
      <c r="C12" s="22">
        <f t="shared" si="3"/>
        <v>1.2000000000000002</v>
      </c>
      <c r="D12" s="22">
        <f t="shared" si="0"/>
        <v>0.85772861000027056</v>
      </c>
      <c r="E12" s="24">
        <v>10.08203125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-0.50141636079576735</v>
      </c>
      <c r="C13" s="22">
        <f t="shared" si="3"/>
        <v>1.3200000000000003</v>
      </c>
      <c r="D13" s="22">
        <f t="shared" si="0"/>
        <v>0.39173501085193702</v>
      </c>
      <c r="E13" s="24">
        <v>10.08203125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-0.91420975570352947</v>
      </c>
      <c r="C14" s="22">
        <f t="shared" si="3"/>
        <v>1.4400000000000004</v>
      </c>
      <c r="D14" s="22">
        <f t="shared" si="0"/>
        <v>-0.22388804785849423</v>
      </c>
      <c r="E14" s="24">
        <v>10.08203125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-0.97780609677928243</v>
      </c>
      <c r="C15" s="22">
        <f t="shared" si="3"/>
        <v>1.5600000000000005</v>
      </c>
      <c r="D15" s="22">
        <f t="shared" si="0"/>
        <v>-0.75399348196187832</v>
      </c>
      <c r="E15" s="24">
        <v>10.08203125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-0.6679137432922182</v>
      </c>
      <c r="C16" s="22">
        <f t="shared" si="3"/>
        <v>1.6800000000000006</v>
      </c>
      <c r="D16" s="22">
        <f t="shared" si="0"/>
        <v>-0.99609903325168869</v>
      </c>
      <c r="E16" s="24">
        <v>10.08203125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-0.10290104142069854</v>
      </c>
      <c r="C17" s="22">
        <f t="shared" si="3"/>
        <v>1.8000000000000007</v>
      </c>
      <c r="D17" s="22">
        <f t="shared" si="0"/>
        <v>-0.85772861000026879</v>
      </c>
      <c r="E17" s="24">
        <v>10.08203125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0.50141636079576724</v>
      </c>
      <c r="C18" s="22">
        <f t="shared" si="3"/>
        <v>1.9200000000000008</v>
      </c>
      <c r="D18" s="22">
        <f t="shared" si="0"/>
        <v>-0.39173501085194695</v>
      </c>
      <c r="E18" s="24">
        <v>10.08203125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0.91420975570353014</v>
      </c>
      <c r="C19" s="22">
        <f t="shared" si="3"/>
        <v>2.0400000000000009</v>
      </c>
      <c r="D19" s="22">
        <f t="shared" si="0"/>
        <v>0.22388804785849756</v>
      </c>
      <c r="E19" s="24">
        <v>10.08203125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0.97780609677928176</v>
      </c>
      <c r="C20" s="22">
        <f t="shared" si="3"/>
        <v>2.160000000000001</v>
      </c>
      <c r="D20" s="22">
        <f t="shared" si="0"/>
        <v>0.75399348196187121</v>
      </c>
      <c r="E20" s="24">
        <v>10.08203125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0.6679137432922162</v>
      </c>
      <c r="C21" s="22">
        <f t="shared" si="3"/>
        <v>2.2800000000000011</v>
      </c>
      <c r="D21" s="22">
        <f t="shared" si="0"/>
        <v>0.99609903325168903</v>
      </c>
      <c r="E21" s="24">
        <v>10.08203125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0.10290104142069442</v>
      </c>
      <c r="C22" s="22">
        <f t="shared" si="3"/>
        <v>2.4000000000000012</v>
      </c>
      <c r="D22" s="22">
        <f t="shared" si="0"/>
        <v>0.85772861000026712</v>
      </c>
      <c r="E22" s="24">
        <v>10.08203125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2024-10-19T14:46:06Z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