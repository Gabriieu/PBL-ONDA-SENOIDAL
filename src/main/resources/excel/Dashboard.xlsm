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BF9C8CDB-D60C-4A2F-A9D6-AB80AF03CA38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3" i="7" a="1"/>
  <c r="B2" i="7" a="1"/>
  <c r="B4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<sst xmlns="http://schemas.openxmlformats.org/spreadsheetml/2006/main" count="37" uniqueCount="18">
  <si>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</si>
  <si>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</si>
  <si>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</si>
  <si>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</si>
  <si>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</si>
  <si>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</si>
  <si>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</si>
  <si>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</si>
  <si>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</si>
  <si>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</si>
  <si>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</si>
  <si>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</si>
  <si>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</si>
  <si>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</si>
  <si>
    <t>Usuário</t>
  </si>
  <si>
    <t>eyJ0eXAiOiJKV1QiLCJhbGciOiJIUzI1NiJ9.eyJzdWIiOiJ0YXRpYW5lQGdtYWlsLmNvbSIsImlhdCI6MTczMDY3MDE1Mywicm9sZSI6IkNMSUVOVCJ9.dWkAZpTaW8MfXQSkorGOZYcsN4kxL-wtqWFAlHHXFNw</t>
  </si>
  <si>
    <t>TATIANE MORAIS</t>
  </si>
  <si>
    <t>tatiane@gmail.com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</si>
</sst>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0.7324072027020011</c:v>
                </c:pt>
                <c:pt idx="1">
                  <c:v>0.98042804102134173</c:v>
                </c:pt>
                <c:pt idx="2">
                  <c:v>0.91136193196250703</c:v>
                </c:pt>
                <c:pt idx="3">
                  <c:v>0.56941366846415775</c:v>
                </c:pt>
                <c:pt idx="4">
                  <c:v>-5.8904862253776002E-2</c:v>
                </c:pt>
                <c:pt idx="5">
                  <c:v>-0.68722339297170976</c:v>
                </c:pt>
                <c:pt idx="6">
                  <c:v>-0.93608469740489442</c:v>
                </c:pt>
                <c:pt idx="7">
                  <c:v>-0.95096730007830454</c:v>
                </c:pt>
                <c:pt idx="8">
                  <c:v>-0.67414125819620185</c:v>
                </c:pt>
                <c:pt idx="9">
                  <c:v>-4.7719752070406463E-3</c:v>
                </c:pt>
                <c:pt idx="10">
                  <c:v>0.7324072027020011</c:v>
                </c:pt>
                <c:pt idx="11">
                  <c:v>0.98042804102134173</c:v>
                </c:pt>
                <c:pt idx="12">
                  <c:v>0.91136193196250703</c:v>
                </c:pt>
                <c:pt idx="13">
                  <c:v>0.56941366846415775</c:v>
                </c:pt>
                <c:pt idx="14">
                  <c:v>-5.8904862253776002E-2</c:v>
                </c:pt>
                <c:pt idx="15">
                  <c:v>-0.68722339297170976</c:v>
                </c:pt>
                <c:pt idx="16">
                  <c:v>-0.93608469740489442</c:v>
                </c:pt>
                <c:pt idx="17">
                  <c:v>-0.95096730007830454</c:v>
                </c:pt>
                <c:pt idx="18">
                  <c:v>-0.67414125819620185</c:v>
                </c:pt>
                <c:pt idx="19">
                  <c:v>-4.7719752070406463E-3</c:v>
                </c:pt>
                <c:pt idx="20">
                  <c:v>0.7324072027020011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Z17" sqref="Z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 t="s">
        <v>15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5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0.7324072027020011</v>
      </c>
      <c r="C2" s="24">
        <v>10.0390625</v>
      </c>
      <c r="D2" s="10"/>
      <c r="E2" s="10"/>
      <c r="F2" s="10"/>
      <c r="G2" s="10"/>
      <c r="H2" s="29" t="s">
        <v>16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10</v>
      </c>
      <c r="X2" s="10"/>
      <c r="Y2" s="10"/>
      <c r="Z2" s="10"/>
      <c r="AA2" s="10"/>
      <c r="AB2" s="10"/>
    </row>
    <row r="3" spans="1:28" ht="23.25" x14ac:dyDescent="0.25">
      <c r="A3" s="22">
        <f>$W$3/10</f>
        <v>1</v>
      </c>
      <c r="B3" s="22" cm="1">
        <f t="array" ref="B3">IFERROR(TAYLOR(2*PI()*($W$2*C3-A3/$W$3), $W$5),0)</f>
        <v>0.98042804102134173</v>
      </c>
      <c r="C3" s="24">
        <v>10.0390625</v>
      </c>
      <c r="D3" s="10"/>
      <c r="E3" s="10"/>
      <c r="F3" s="10"/>
      <c r="G3" s="10"/>
      <c r="H3" s="29" t="s">
        <v>17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10</v>
      </c>
      <c r="X3" s="10"/>
      <c r="Y3" s="10"/>
      <c r="Z3" s="10"/>
      <c r="AA3" s="10"/>
      <c r="AB3" s="10"/>
    </row>
    <row r="4" spans="1:28" ht="23.25" x14ac:dyDescent="0.25">
      <c r="A4" s="22">
        <f>A3+$A$3</f>
        <v>2</v>
      </c>
      <c r="B4" s="22" cm="1">
        <f t="array" ref="B4">IFERROR(TAYLOR(2*PI()*($W$2*C4-A4/$W$3), $W$5),0)</f>
        <v>0.91136193196250703</v>
      </c>
      <c r="C4" s="24">
        <v>10.0390625</v>
      </c>
      <c r="D4" s="10"/>
      <c r="E4" s="10"/>
      <c r="F4" s="10"/>
      <c r="G4" s="10"/>
      <c r="H4" s="29" t="s">
        <v>14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10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3</v>
      </c>
      <c r="B5" s="22" cm="1">
        <f t="array" ref="B5">IFERROR(TAYLOR(2*PI()*($W$2*C5-A5/$W$3), $W$5),0)</f>
        <v>0.56941366846415775</v>
      </c>
      <c r="C5" s="24">
        <v>10.0390625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4</v>
      </c>
      <c r="B6" s="22" cm="1">
        <f t="array" ref="B6">IFERROR(TAYLOR(2*PI()*($W$2*C6-A6/$W$3), $W$5),0)</f>
        <v>-5.8904862253776002E-2</v>
      </c>
      <c r="C6" s="24">
        <v>10.0390625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5</v>
      </c>
      <c r="B7" s="22" cm="1">
        <f t="array" ref="B7">IFERROR(TAYLOR(2*PI()*($W$2*C7-A7/$W$3), $W$5),0)</f>
        <v>-0.68722339297170976</v>
      </c>
      <c r="C7" s="24">
        <v>10.0390625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6</v>
      </c>
      <c r="B8" s="22" cm="1">
        <f t="array" ref="B8">IFERROR(TAYLOR(2*PI()*($W$2*C8-A8/$W$3), $W$5),0)</f>
        <v>-0.93608469740489442</v>
      </c>
      <c r="C8" s="24">
        <v>10.0390625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7</v>
      </c>
      <c r="B9" s="22" cm="1">
        <f t="array" ref="B9">IFERROR(TAYLOR(2*PI()*($W$2*C9-A9/$W$3), $W$5),0)</f>
        <v>-0.95096730007830454</v>
      </c>
      <c r="C9" s="24">
        <v>10.0390625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8</v>
      </c>
      <c r="B10" s="22" cm="1">
        <f t="array" ref="B10">IFERROR(TAYLOR(2*PI()*($W$2*C10-A10/$W$3), $W$5),0)</f>
        <v>-0.67414125819620185</v>
      </c>
      <c r="C10" s="24">
        <v>10.0390625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9</v>
      </c>
      <c r="B11" s="22" cm="1">
        <f t="array" ref="B11">IFERROR(TAYLOR(2*PI()*($W$2*C11-A11/$W$3), $W$5),0)</f>
        <v>-4.7719752070406463E-3</v>
      </c>
      <c r="C11" s="24">
        <v>10.0390625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10</v>
      </c>
      <c r="B12" s="22" cm="1">
        <f t="array" ref="B12">IFERROR(TAYLOR(2*PI()*($W$2*C12-A12/$W$3), $W$5),0)</f>
        <v>0.7324072027020011</v>
      </c>
      <c r="C12" s="24">
        <v>10.0390625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11</v>
      </c>
      <c r="B13" s="22" cm="1">
        <f t="array" ref="B13">IFERROR(TAYLOR(2*PI()*($W$2*C13-A13/$W$3), $W$5),0)</f>
        <v>0.98042804102134173</v>
      </c>
      <c r="C13" s="24">
        <v>10.0390625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12</v>
      </c>
      <c r="B14" s="22" cm="1">
        <f t="array" ref="B14">IFERROR(TAYLOR(2*PI()*($W$2*C14-A14/$W$3), $W$5),0)</f>
        <v>0.91136193196250703</v>
      </c>
      <c r="C14" s="24">
        <v>10.0390625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13</v>
      </c>
      <c r="B15" s="22" cm="1">
        <f t="array" ref="B15">IFERROR(TAYLOR(2*PI()*($W$2*C15-A15/$W$3), $W$5),0)</f>
        <v>0.56941366846415775</v>
      </c>
      <c r="C15" s="24">
        <v>10.0390625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14</v>
      </c>
      <c r="B16" s="22" cm="1">
        <f t="array" ref="B16">IFERROR(TAYLOR(2*PI()*($W$2*C16-A16/$W$3), $W$5),0)</f>
        <v>-5.8904862253776002E-2</v>
      </c>
      <c r="C16" s="24">
        <v>10.0390625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15</v>
      </c>
      <c r="B17" s="22" cm="1">
        <f t="array" ref="B17">IFERROR(TAYLOR(2*PI()*($W$2*C17-A17/$W$3), $W$5),0)</f>
        <v>-0.68722339297170976</v>
      </c>
      <c r="C17" s="24">
        <v>10.0390625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16</v>
      </c>
      <c r="B18" s="22" cm="1">
        <f t="array" ref="B18">IFERROR(TAYLOR(2*PI()*($W$2*C18-A18/$W$3), $W$5),0)</f>
        <v>-0.93608469740489442</v>
      </c>
      <c r="C18" s="24">
        <v>10.0390625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17</v>
      </c>
      <c r="B19" s="22" cm="1">
        <f t="array" ref="B19">IFERROR(TAYLOR(2*PI()*($W$2*C19-A19/$W$3), $W$5),0)</f>
        <v>-0.95096730007830454</v>
      </c>
      <c r="C19" s="24">
        <v>10.0390625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18</v>
      </c>
      <c r="B20" s="22" cm="1">
        <f t="array" ref="B20">IFERROR(TAYLOR(2*PI()*($W$2*C20-A20/$W$3), $W$5),0)</f>
        <v>-0.67414125819620185</v>
      </c>
      <c r="C20" s="24">
        <v>10.0390625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19</v>
      </c>
      <c r="B21" s="22" cm="1">
        <f t="array" ref="B21">IFERROR(TAYLOR(2*PI()*($W$2*C21-A21/$W$3), $W$5),0)</f>
        <v>-4.7719752070406463E-3</v>
      </c>
      <c r="C21" s="24">
        <v>10.0390625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20</v>
      </c>
      <c r="B22" s="22" cm="1">
        <f t="array" ref="B22">IFERROR(TAYLOR(2*PI()*($W$2*C22-A22/$W$3), $W$5),0)</f>
        <v>0.7324072027020011</v>
      </c>
      <c r="C22" s="24">
        <v>10.0390625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2024-11-03T21:44:19Z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