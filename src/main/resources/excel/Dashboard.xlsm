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A6986D45-C37B-4A56-B51D-792AFE326F7F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nsulta" sheetId="2" r:id="rId2"/>
    <sheet name="Comparador" sheetId="4" r:id="rId3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3" i="7" a="1"/>
  <c r="B2" i="7" a="1"/>
  <c r="B4" i="7" a="1"/>
  <c r="B4" i="7" l="1"/>
  <c r="B3" i="7"/>
  <c r="B2" i="7"/>
  <c r="A5" i="7"/>
  <c r="D2" i="4"/>
  <c r="C3" i="4"/>
  <c r="D3" i="4" s="1"/>
  <c r="A3" i="4"/>
  <c r="A4" i="4" s="1"/>
  <c r="B4" i="4" s="1"/>
  <c r="B2" i="4"/>
  <c r="A3" i="2"/>
  <c r="A4" i="2" s="1"/>
  <c r="B4" i="2" s="1"/>
  <c r="B2" i="2"/>
  <c r="B5" i="7" a="1"/>
  <c r="B5" i="7" l="1"/>
  <c r="A6" i="7"/>
  <c r="C4" i="4"/>
  <c r="B3" i="4"/>
  <c r="A5" i="4"/>
  <c r="B5" i="4" s="1"/>
  <c r="B3" i="2"/>
  <c r="A5" i="2"/>
  <c r="B5" i="2" s="1"/>
  <c r="B6" i="7" a="1"/>
  <c r="B6" i="7" l="1"/>
  <c r="A7" i="7"/>
  <c r="D4" i="4"/>
  <c r="C5" i="4"/>
  <c r="A6" i="4"/>
  <c r="B6" i="4" s="1"/>
  <c r="A6" i="2"/>
  <c r="B6" i="2" s="1"/>
  <c r="B7" i="7" a="1"/>
  <c r="B7" i="7" l="1"/>
  <c r="A8" i="7"/>
  <c r="C6" i="4"/>
  <c r="D5" i="4"/>
  <c r="A7" i="4"/>
  <c r="B7" i="4" s="1"/>
  <c r="A7" i="2"/>
  <c r="B7" i="2" s="1"/>
  <c r="B8" i="7" a="1"/>
  <c r="B8" i="7" l="1"/>
  <c r="A9" i="7"/>
  <c r="C7" i="4"/>
  <c r="D6" i="4"/>
  <c r="A8" i="4"/>
  <c r="B8" i="4" s="1"/>
  <c r="A8" i="2"/>
  <c r="B8" i="2" s="1"/>
  <c r="B9" i="7" a="1"/>
  <c r="B9" i="7" l="1"/>
  <c r="A10" i="7"/>
  <c r="C8" i="4"/>
  <c r="D7" i="4"/>
  <c r="A9" i="4"/>
  <c r="B9" i="4" s="1"/>
  <c r="A9" i="2"/>
  <c r="B9" i="2" s="1"/>
  <c r="B10" i="7" a="1"/>
  <c r="B10" i="7" l="1"/>
  <c r="A11" i="7"/>
  <c r="C9" i="4"/>
  <c r="D8" i="4"/>
  <c r="A10" i="4"/>
  <c r="B10" i="4" s="1"/>
  <c r="A10" i="2"/>
  <c r="B10" i="2" s="1"/>
  <c r="B11" i="7" a="1"/>
  <c r="B11" i="7" l="1"/>
  <c r="A12" i="7"/>
  <c r="C10" i="4"/>
  <c r="D9" i="4"/>
  <c r="A11" i="4"/>
  <c r="B11" i="4" s="1"/>
  <c r="A11" i="2"/>
  <c r="B11" i="2" s="1"/>
  <c r="B12" i="7" a="1"/>
  <c r="B12" i="7" l="1"/>
  <c r="A13" i="7"/>
  <c r="C11" i="4"/>
  <c r="D10" i="4"/>
  <c r="A12" i="4"/>
  <c r="B12" i="4" s="1"/>
  <c r="A12" i="2"/>
  <c r="B13" i="7" a="1"/>
  <c r="B13" i="7" l="1"/>
  <c r="A14" i="7"/>
  <c r="C12" i="4"/>
  <c r="D11" i="4"/>
  <c r="A13" i="4"/>
  <c r="B13" i="4" s="1"/>
  <c r="B12" i="2"/>
  <c r="A13" i="2"/>
  <c r="B14" i="7" a="1"/>
  <c r="B14" i="7" l="1"/>
  <c r="A15" i="7"/>
  <c r="C13" i="4"/>
  <c r="D12" i="4"/>
  <c r="A14" i="4"/>
  <c r="B14" i="4" s="1"/>
  <c r="B13" i="2"/>
  <c r="A14" i="2"/>
  <c r="B15" i="7" a="1"/>
  <c r="B15" i="7" l="1"/>
  <c r="A16" i="7"/>
  <c r="C14" i="4"/>
  <c r="D13" i="4"/>
  <c r="A15" i="4"/>
  <c r="B15" i="4" s="1"/>
  <c r="B14" i="2"/>
  <c r="A15" i="2"/>
  <c r="B16" i="7" a="1"/>
  <c r="B16" i="7" l="1"/>
  <c r="A17" i="7"/>
  <c r="C15" i="4"/>
  <c r="D14" i="4"/>
  <c r="A16" i="4"/>
  <c r="B16" i="4" s="1"/>
  <c r="B15" i="2"/>
  <c r="A16" i="2"/>
  <c r="B17" i="7" a="1"/>
  <c r="B17" i="7" l="1"/>
  <c r="A18" i="7"/>
  <c r="C16" i="4"/>
  <c r="D15" i="4"/>
  <c r="A17" i="4"/>
  <c r="B17" i="4" s="1"/>
  <c r="B16" i="2"/>
  <c r="A17" i="2"/>
  <c r="B18" i="7" a="1"/>
  <c r="B18" i="7" l="1"/>
  <c r="A19" i="7"/>
  <c r="C17" i="4"/>
  <c r="D16" i="4"/>
  <c r="A18" i="4"/>
  <c r="B18" i="4" s="1"/>
  <c r="A18" i="2"/>
  <c r="B17" i="2"/>
  <c r="B19" i="7" a="1"/>
  <c r="B19" i="7" l="1"/>
  <c r="A20" i="7"/>
  <c r="C18" i="4"/>
  <c r="D17" i="4"/>
  <c r="A19" i="4"/>
  <c r="B19" i="4" s="1"/>
  <c r="A19" i="2"/>
  <c r="B18" i="2"/>
  <c r="B20" i="7" a="1"/>
  <c r="B20" i="7" l="1"/>
  <c r="A21" i="7"/>
  <c r="C19" i="4"/>
  <c r="D18" i="4"/>
  <c r="A20" i="4"/>
  <c r="B20" i="4" s="1"/>
  <c r="B19" i="2"/>
  <c r="A20" i="2"/>
  <c r="B21" i="7" a="1"/>
  <c r="B21" i="7" l="1"/>
  <c r="A22" i="7"/>
  <c r="C20" i="4"/>
  <c r="D19" i="4"/>
  <c r="A21" i="4"/>
  <c r="B21" i="4" s="1"/>
  <c r="B20" i="2"/>
  <c r="A21" i="2"/>
  <c r="B22" i="7" a="1"/>
  <c r="B22" i="7" l="1"/>
  <c r="C21" i="4"/>
  <c r="D20" i="4"/>
  <c r="A22" i="4"/>
  <c r="B22" i="4" s="1"/>
  <c r="B21" i="2"/>
  <c r="A22" i="2"/>
  <c r="B22" i="2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<sst xmlns="http://schemas.openxmlformats.org/spreadsheetml/2006/main" count="33" uniqueCount="14">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</sst>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0.39269908169872458</c:v>
                </c:pt>
                <c:pt idx="1">
                  <c:v>-0.23561944901923404</c:v>
                </c:pt>
                <c:pt idx="2">
                  <c:v>-0.86393797973719266</c:v>
                </c:pt>
                <c:pt idx="3">
                  <c:v>-0.93842304235573393</c:v>
                </c:pt>
                <c:pt idx="4">
                  <c:v>-0.88860552558118255</c:v>
                </c:pt>
                <c:pt idx="5">
                  <c:v>-0.35960293403816651</c:v>
                </c:pt>
                <c:pt idx="6">
                  <c:v>0.1956841434409497</c:v>
                </c:pt>
                <c:pt idx="7">
                  <c:v>0.81916091807275837</c:v>
                </c:pt>
                <c:pt idx="8">
                  <c:v>0.9015519547589731</c:v>
                </c:pt>
                <c:pt idx="9">
                  <c:v>0.84361972213903025</c:v>
                </c:pt>
                <c:pt idx="10">
                  <c:v>0.39269908169872486</c:v>
                </c:pt>
                <c:pt idx="11">
                  <c:v>-0.23561944901923365</c:v>
                </c:pt>
                <c:pt idx="12">
                  <c:v>-0.86393797973719277</c:v>
                </c:pt>
                <c:pt idx="13">
                  <c:v>-0.93842304235573393</c:v>
                </c:pt>
                <c:pt idx="14">
                  <c:v>-0.88860552558118255</c:v>
                </c:pt>
                <c:pt idx="15">
                  <c:v>-0.35960293403816523</c:v>
                </c:pt>
                <c:pt idx="16">
                  <c:v>0.19568414344095142</c:v>
                </c:pt>
                <c:pt idx="17">
                  <c:v>0.81916091807275959</c:v>
                </c:pt>
                <c:pt idx="18">
                  <c:v>0.90155195475897421</c:v>
                </c:pt>
                <c:pt idx="19">
                  <c:v>0.84361972213902803</c:v>
                </c:pt>
                <c:pt idx="20">
                  <c:v>0.39269908169872103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0.9807852804032301</c:v>
                </c:pt>
                <c:pt idx="1">
                  <c:v>0.67880074553292757</c:v>
                </c:pt>
                <c:pt idx="2">
                  <c:v>0.11753739745784322</c:v>
                </c:pt>
                <c:pt idx="3">
                  <c:v>-0.48862124149696551</c:v>
                </c:pt>
                <c:pt idx="4">
                  <c:v>-0.90814317382508192</c:v>
                </c:pt>
                <c:pt idx="5">
                  <c:v>-0.98078528040322943</c:v>
                </c:pt>
                <c:pt idx="6">
                  <c:v>-0.67880074553293546</c:v>
                </c:pt>
                <c:pt idx="7">
                  <c:v>-0.11753739745783982</c:v>
                </c:pt>
                <c:pt idx="8">
                  <c:v>0.48862124149695613</c:v>
                </c:pt>
                <c:pt idx="9">
                  <c:v>0.90814317382508336</c:v>
                </c:pt>
                <c:pt idx="10">
                  <c:v>0.98078528040322877</c:v>
                </c:pt>
                <c:pt idx="11">
                  <c:v>0.67880074553294345</c:v>
                </c:pt>
                <c:pt idx="12">
                  <c:v>0.11753739745783641</c:v>
                </c:pt>
                <c:pt idx="13">
                  <c:v>-0.48862124149695912</c:v>
                </c:pt>
                <c:pt idx="14">
                  <c:v>-0.9081431738250848</c:v>
                </c:pt>
                <c:pt idx="15">
                  <c:v>-0.98078528040323087</c:v>
                </c:pt>
                <c:pt idx="16">
                  <c:v>-0.6788007455329409</c:v>
                </c:pt>
                <c:pt idx="17">
                  <c:v>-0.11753739745783301</c:v>
                </c:pt>
                <c:pt idx="18">
                  <c:v>0.48862124149696212</c:v>
                </c:pt>
                <c:pt idx="19">
                  <c:v>0.90814317382508625</c:v>
                </c:pt>
                <c:pt idx="20">
                  <c:v>0.98078528040323021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0.70710678118654213</c:v>
                </c:pt>
                <c:pt idx="1">
                  <c:v>0.15643446504021988</c:v>
                </c:pt>
                <c:pt idx="2">
                  <c:v>-0.45399049973954719</c:v>
                </c:pt>
                <c:pt idx="3">
                  <c:v>-0.89100652418836968</c:v>
                </c:pt>
                <c:pt idx="4">
                  <c:v>-0.98768834059513877</c:v>
                </c:pt>
                <c:pt idx="5">
                  <c:v>-0.70710678118653969</c:v>
                </c:pt>
                <c:pt idx="6">
                  <c:v>-0.15643446504021649</c:v>
                </c:pt>
                <c:pt idx="7">
                  <c:v>0.45399049973955025</c:v>
                </c:pt>
                <c:pt idx="8">
                  <c:v>0.89100652418837123</c:v>
                </c:pt>
                <c:pt idx="9">
                  <c:v>0.98768834059513821</c:v>
                </c:pt>
                <c:pt idx="10">
                  <c:v>0.70710678118654735</c:v>
                </c:pt>
                <c:pt idx="11">
                  <c:v>0.15643446504021311</c:v>
                </c:pt>
                <c:pt idx="12">
                  <c:v>-0.45399049973954064</c:v>
                </c:pt>
                <c:pt idx="13">
                  <c:v>-0.89100652418837278</c:v>
                </c:pt>
                <c:pt idx="14">
                  <c:v>-0.98768834059513544</c:v>
                </c:pt>
                <c:pt idx="15">
                  <c:v>-0.70710678118654491</c:v>
                </c:pt>
                <c:pt idx="16">
                  <c:v>-0.15643446504022376</c:v>
                </c:pt>
                <c:pt idx="17">
                  <c:v>0.4539904997395437</c:v>
                </c:pt>
                <c:pt idx="18">
                  <c:v>0.89100652418837434</c:v>
                </c:pt>
                <c:pt idx="19">
                  <c:v>0.98768834059513499</c:v>
                </c:pt>
                <c:pt idx="20">
                  <c:v>0.70710678118654247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7.8459095727844902E-2</c:v>
                </c:pt>
                <c:pt idx="1">
                  <c:v>-0.52249856471594891</c:v>
                </c:pt>
                <c:pt idx="2">
                  <c:v>-0.92387953251128607</c:v>
                </c:pt>
                <c:pt idx="3">
                  <c:v>-0.97236992039767656</c:v>
                </c:pt>
                <c:pt idx="4">
                  <c:v>-0.64944804833018499</c:v>
                </c:pt>
                <c:pt idx="5">
                  <c:v>-7.8459095727845013E-2</c:v>
                </c:pt>
                <c:pt idx="6">
                  <c:v>0.5224985647159488</c:v>
                </c:pt>
                <c:pt idx="7">
                  <c:v>0.92387953251128674</c:v>
                </c:pt>
                <c:pt idx="8">
                  <c:v>0.972369920397677</c:v>
                </c:pt>
                <c:pt idx="9">
                  <c:v>0.64944804833018444</c:v>
                </c:pt>
                <c:pt idx="10">
                  <c:v>7.8459095727846026E-2</c:v>
                </c:pt>
                <c:pt idx="11">
                  <c:v>-0.52249856471594713</c:v>
                </c:pt>
                <c:pt idx="12">
                  <c:v>-0.92387953251128563</c:v>
                </c:pt>
                <c:pt idx="13">
                  <c:v>-0.97236992039767745</c:v>
                </c:pt>
                <c:pt idx="14">
                  <c:v>-0.64944804833018588</c:v>
                </c:pt>
                <c:pt idx="15">
                  <c:v>-7.8459095727847469E-2</c:v>
                </c:pt>
                <c:pt idx="16">
                  <c:v>0.52249856471594747</c:v>
                </c:pt>
                <c:pt idx="17">
                  <c:v>0.92387953251128629</c:v>
                </c:pt>
                <c:pt idx="18">
                  <c:v>0.97236992039767678</c:v>
                </c:pt>
                <c:pt idx="19">
                  <c:v>0.64944804833018388</c:v>
                </c:pt>
                <c:pt idx="20">
                  <c:v>7.8459095727843264E-2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X23" sqref="X23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9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0.39269908169872458</v>
      </c>
      <c r="C2" s="24">
        <v>1.0625</v>
      </c>
      <c r="D2" s="10"/>
      <c r="E2" s="10"/>
      <c r="F2" s="10"/>
      <c r="G2" s="10"/>
      <c r="H2" s="2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1</v>
      </c>
      <c r="X2" s="10"/>
      <c r="Y2" s="10"/>
      <c r="Z2" s="10"/>
      <c r="AA2" s="10"/>
      <c r="AB2" s="10"/>
    </row>
    <row r="3" spans="1:28" ht="23.25" x14ac:dyDescent="0.25">
      <c r="A3" s="22">
        <f>$W$3/10</f>
        <v>0.1</v>
      </c>
      <c r="B3" s="22" cm="1">
        <f t="array" ref="B3">IFERROR(TAYLOR(2*PI()*($W$2*C3-A3/$W$3), $W$5),0)</f>
        <v>-0.23561944901923404</v>
      </c>
      <c r="C3" s="24">
        <v>1.0625</v>
      </c>
      <c r="D3" s="10"/>
      <c r="E3" s="10"/>
      <c r="F3" s="10"/>
      <c r="G3" s="10"/>
      <c r="H3" s="29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</v>
      </c>
      <c r="X3" s="10"/>
      <c r="Y3" s="10"/>
      <c r="Z3" s="10"/>
      <c r="AA3" s="10"/>
      <c r="AB3" s="10"/>
    </row>
    <row r="4" spans="1:28" ht="23.25" x14ac:dyDescent="0.25">
      <c r="A4" s="22">
        <f>A3+$A$3</f>
        <v>0.2</v>
      </c>
      <c r="B4" s="22" cm="1">
        <f t="array" ref="B4">IFERROR(TAYLOR(2*PI()*($W$2*C4-A4/$W$3), $W$5),0)</f>
        <v>-0.86393797973719266</v>
      </c>
      <c r="C4" s="24">
        <v>1.0625</v>
      </c>
      <c r="D4" s="10"/>
      <c r="E4" s="10"/>
      <c r="F4" s="10"/>
      <c r="G4" s="10"/>
      <c r="H4" s="29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0.30000000000000004</v>
      </c>
      <c r="B5" s="22" cm="1">
        <f t="array" ref="B5">IFERROR(TAYLOR(2*PI()*($W$2*C5-A5/$W$3), $W$5),0)</f>
        <v>-0.93842304235573393</v>
      </c>
      <c r="C5" s="24">
        <v>1.0625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0.4</v>
      </c>
      <c r="B6" s="22" cm="1">
        <f t="array" ref="B6">IFERROR(TAYLOR(2*PI()*($W$2*C6-A6/$W$3), $W$5),0)</f>
        <v>-0.88860552558118255</v>
      </c>
      <c r="C6" s="24">
        <v>1.0625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0.5</v>
      </c>
      <c r="B7" s="22" cm="1">
        <f t="array" ref="B7">IFERROR(TAYLOR(2*PI()*($W$2*C7-A7/$W$3), $W$5),0)</f>
        <v>-0.35960293403816651</v>
      </c>
      <c r="C7" s="24">
        <v>1.0625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0.6</v>
      </c>
      <c r="B8" s="22" cm="1">
        <f t="array" ref="B8">IFERROR(TAYLOR(2*PI()*($W$2*C8-A8/$W$3), $W$5),0)</f>
        <v>0.1956841434409497</v>
      </c>
      <c r="C8" s="24">
        <v>1.0625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0.7</v>
      </c>
      <c r="B9" s="22" cm="1">
        <f t="array" ref="B9">IFERROR(TAYLOR(2*PI()*($W$2*C9-A9/$W$3), $W$5),0)</f>
        <v>0.81916091807275837</v>
      </c>
      <c r="C9" s="24">
        <v>1.0625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0.79999999999999993</v>
      </c>
      <c r="B10" s="22" cm="1">
        <f t="array" ref="B10">IFERROR(TAYLOR(2*PI()*($W$2*C10-A10/$W$3), $W$5),0)</f>
        <v>0.9015519547589731</v>
      </c>
      <c r="C10" s="24">
        <v>1.0625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0.89999999999999991</v>
      </c>
      <c r="B11" s="22" cm="1">
        <f t="array" ref="B11">IFERROR(TAYLOR(2*PI()*($W$2*C11-A11/$W$3), $W$5),0)</f>
        <v>0.84361972213903025</v>
      </c>
      <c r="C11" s="24">
        <v>1.0625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0.99999999999999989</v>
      </c>
      <c r="B12" s="22" cm="1">
        <f t="array" ref="B12">IFERROR(TAYLOR(2*PI()*($W$2*C12-A12/$W$3), $W$5),0)</f>
        <v>0.39269908169872486</v>
      </c>
      <c r="C12" s="24">
        <v>1.0625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1.0999999999999999</v>
      </c>
      <c r="B13" s="22" cm="1">
        <f t="array" ref="B13">IFERROR(TAYLOR(2*PI()*($W$2*C13-A13/$W$3), $W$5),0)</f>
        <v>-0.23561944901923365</v>
      </c>
      <c r="C13" s="24">
        <v>1.0625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1.2</v>
      </c>
      <c r="B14" s="22" cm="1">
        <f t="array" ref="B14">IFERROR(TAYLOR(2*PI()*($W$2*C14-A14/$W$3), $W$5),0)</f>
        <v>-0.86393797973719277</v>
      </c>
      <c r="C14" s="24">
        <v>1.0625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1.3</v>
      </c>
      <c r="B15" s="22" cm="1">
        <f t="array" ref="B15">IFERROR(TAYLOR(2*PI()*($W$2*C15-A15/$W$3), $W$5),0)</f>
        <v>-0.93842304235573393</v>
      </c>
      <c r="C15" s="24">
        <v>1.0625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1" t="s">
        <v>13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1.4000000000000001</v>
      </c>
      <c r="B16" s="22" cm="1">
        <f t="array" ref="B16">IFERROR(TAYLOR(2*PI()*($W$2*C16-A16/$W$3), $W$5),0)</f>
        <v>-0.88860552558118255</v>
      </c>
      <c r="C16" s="24">
        <v>1.0625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1.5000000000000002</v>
      </c>
      <c r="B17" s="22" cm="1">
        <f t="array" ref="B17">IFERROR(TAYLOR(2*PI()*($W$2*C17-A17/$W$3), $W$5),0)</f>
        <v>-0.35960293403816523</v>
      </c>
      <c r="C17" s="24">
        <v>1.0625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1.6000000000000003</v>
      </c>
      <c r="B18" s="22" cm="1">
        <f t="array" ref="B18">IFERROR(TAYLOR(2*PI()*($W$2*C18-A18/$W$3), $W$5),0)</f>
        <v>0.19568414344095142</v>
      </c>
      <c r="C18" s="24">
        <v>1.0625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1.7000000000000004</v>
      </c>
      <c r="B19" s="22" cm="1">
        <f t="array" ref="B19">IFERROR(TAYLOR(2*PI()*($W$2*C19-A19/$W$3), $W$5),0)</f>
        <v>0.81916091807275959</v>
      </c>
      <c r="C19" s="24">
        <v>1.0625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1.8000000000000005</v>
      </c>
      <c r="B20" s="22" cm="1">
        <f t="array" ref="B20">IFERROR(TAYLOR(2*PI()*($W$2*C20-A20/$W$3), $W$5),0)</f>
        <v>0.90155195475897421</v>
      </c>
      <c r="C20" s="24">
        <v>1.0625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1.9000000000000006</v>
      </c>
      <c r="B21" s="22" cm="1">
        <f t="array" ref="B21">IFERROR(TAYLOR(2*PI()*($W$2*C21-A21/$W$3), $W$5),0)</f>
        <v>0.84361972213902803</v>
      </c>
      <c r="C21" s="24">
        <v>1.0625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2.0000000000000004</v>
      </c>
      <c r="B22" s="22" cm="1">
        <f t="array" ref="B22">IFERROR(TAYLOR(2*PI()*($W$2*C22-A22/$W$3), $W$5),0)</f>
        <v>0.39269908169872103</v>
      </c>
      <c r="C22" s="24">
        <v>1.0625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4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0"/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6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6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6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6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6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6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6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17" sqref="Y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0.9807852804032301</v>
      </c>
      <c r="C2" s="24">
        <v>4.0546875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</v>
      </c>
      <c r="X2" s="10"/>
      <c r="Y2" s="10"/>
      <c r="Z2" s="10"/>
      <c r="AA2" s="10"/>
      <c r="AB2" s="10"/>
    </row>
    <row r="3" spans="1:28" ht="23.25" x14ac:dyDescent="0.25">
      <c r="A3" s="22">
        <f>$W$3/10</f>
        <v>0.4</v>
      </c>
      <c r="B3" s="22">
        <f t="shared" ref="B3:B12" si="0">IFERROR(SIN(2*PI()*($W$2*C3-A3/$W$3)),0)</f>
        <v>0.67880074553292757</v>
      </c>
      <c r="C3" s="24">
        <v>4.0546875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4</v>
      </c>
      <c r="X3" s="10"/>
      <c r="Y3" s="10"/>
      <c r="Z3" s="10"/>
      <c r="AA3" s="10"/>
      <c r="AB3" s="10"/>
    </row>
    <row r="4" spans="1:28" ht="23.25" x14ac:dyDescent="0.25">
      <c r="A4" s="22">
        <f>A3+$A$3</f>
        <v>0.8</v>
      </c>
      <c r="B4" s="22">
        <f t="shared" si="0"/>
        <v>0.11753739745784322</v>
      </c>
      <c r="C4" s="24">
        <v>4.0546875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4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1.2000000000000002</v>
      </c>
      <c r="B5" s="22">
        <f t="shared" si="0"/>
        <v>-0.48862124149696551</v>
      </c>
      <c r="C5" s="24">
        <v>4.0546875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100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1.6</v>
      </c>
      <c r="B6" s="22">
        <f t="shared" si="0"/>
        <v>-0.90814317382508192</v>
      </c>
      <c r="C6" s="24">
        <v>4.0546875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2</v>
      </c>
      <c r="B7" s="22">
        <f t="shared" si="0"/>
        <v>-0.98078528040322943</v>
      </c>
      <c r="C7" s="24">
        <v>4.0546875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2.4</v>
      </c>
      <c r="B8" s="22">
        <f t="shared" si="0"/>
        <v>-0.67880074553293546</v>
      </c>
      <c r="C8" s="24">
        <v>4.0546875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2.8</v>
      </c>
      <c r="B9" s="22">
        <f t="shared" si="0"/>
        <v>-0.11753739745783982</v>
      </c>
      <c r="C9" s="24">
        <v>4.0546875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3.1999999999999997</v>
      </c>
      <c r="B10" s="22">
        <f t="shared" si="0"/>
        <v>0.48862124149695613</v>
      </c>
      <c r="C10" s="24">
        <v>4.0546875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3.5999999999999996</v>
      </c>
      <c r="B11" s="22">
        <f t="shared" si="0"/>
        <v>0.90814317382508336</v>
      </c>
      <c r="C11" s="24">
        <v>4.0546875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3.9999999999999996</v>
      </c>
      <c r="B12" s="22">
        <f t="shared" si="0"/>
        <v>0.98078528040322877</v>
      </c>
      <c r="C12" s="24">
        <v>4.0546875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4.3999999999999995</v>
      </c>
      <c r="B13" s="22">
        <f t="shared" ref="B13:B22" si="2">IFERROR(SIN(2*PI()*($W$2*C13-A13/$W$3)),0)</f>
        <v>0.67880074553294345</v>
      </c>
      <c r="C13" s="24">
        <v>4.0546875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4.8</v>
      </c>
      <c r="B14" s="22">
        <f t="shared" si="2"/>
        <v>0.11753739745783641</v>
      </c>
      <c r="C14" s="24">
        <v>4.0546875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5.2</v>
      </c>
      <c r="B15" s="22">
        <f t="shared" si="2"/>
        <v>-0.48862124149695912</v>
      </c>
      <c r="C15" s="24">
        <v>4.0546875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5.6000000000000005</v>
      </c>
      <c r="B16" s="22">
        <f t="shared" si="2"/>
        <v>-0.9081431738250848</v>
      </c>
      <c r="C16" s="24">
        <v>4.0546875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6.0000000000000009</v>
      </c>
      <c r="B17" s="22">
        <f t="shared" si="2"/>
        <v>-0.98078528040323087</v>
      </c>
      <c r="C17" s="24">
        <v>4.0546875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6.4000000000000012</v>
      </c>
      <c r="B18" s="22">
        <f t="shared" si="2"/>
        <v>-0.6788007455329409</v>
      </c>
      <c r="C18" s="24">
        <v>4.0546875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6.8000000000000016</v>
      </c>
      <c r="B19" s="22">
        <f t="shared" si="2"/>
        <v>-0.11753739745783301</v>
      </c>
      <c r="C19" s="24">
        <v>4.0546875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7.200000000000002</v>
      </c>
      <c r="B20" s="22">
        <f t="shared" si="2"/>
        <v>0.48862124149696212</v>
      </c>
      <c r="C20" s="24">
        <v>4.0546875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7.6000000000000023</v>
      </c>
      <c r="B21" s="22">
        <f t="shared" si="2"/>
        <v>0.90814317382508625</v>
      </c>
      <c r="C21" s="24">
        <v>4.0546875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8.0000000000000018</v>
      </c>
      <c r="B22" s="22">
        <f t="shared" si="2"/>
        <v>0.98078528040323021</v>
      </c>
      <c r="C22" s="24">
        <v>4.0546875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2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2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2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2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2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2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4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7" t="s">
        <v>8</v>
      </c>
      <c r="W1" s="38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7.8459095727844902E-2</v>
      </c>
      <c r="C2" s="22">
        <v>0</v>
      </c>
      <c r="D2" s="22">
        <f t="shared" ref="D2:D22" si="0">SIN(2*PI()*($W$6*E2-C2/$W$7))</f>
        <v>0.70710678118654213</v>
      </c>
      <c r="E2" s="24">
        <v>10.0625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-0.52249856471594891</v>
      </c>
      <c r="C3" s="22">
        <f>$W$7/10</f>
        <v>0.12</v>
      </c>
      <c r="D3" s="22">
        <f t="shared" si="0"/>
        <v>0.15643446504021988</v>
      </c>
      <c r="E3" s="24">
        <v>10.0625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-0.92387953251128607</v>
      </c>
      <c r="C4" s="22">
        <f>C3+$C$3</f>
        <v>0.24</v>
      </c>
      <c r="D4" s="22">
        <f t="shared" si="0"/>
        <v>-0.45399049973954719</v>
      </c>
      <c r="E4" s="24">
        <v>10.0625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-0.97236992039767656</v>
      </c>
      <c r="C5" s="22">
        <f t="shared" ref="C5:C22" si="3">C4+$C$3</f>
        <v>0.36</v>
      </c>
      <c r="D5" s="22">
        <f t="shared" si="0"/>
        <v>-0.89100652418836968</v>
      </c>
      <c r="E5" s="24">
        <v>10.0625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9" t="s">
        <v>9</v>
      </c>
      <c r="W5" s="40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-0.64944804833018499</v>
      </c>
      <c r="C6" s="22">
        <f t="shared" si="3"/>
        <v>0.48</v>
      </c>
      <c r="D6" s="22">
        <f t="shared" si="0"/>
        <v>-0.98768834059513877</v>
      </c>
      <c r="E6" s="24">
        <v>10.0625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-7.8459095727845013E-2</v>
      </c>
      <c r="C7" s="22">
        <f t="shared" si="3"/>
        <v>0.6</v>
      </c>
      <c r="D7" s="22">
        <f t="shared" si="0"/>
        <v>-0.70710678118653969</v>
      </c>
      <c r="E7" s="24">
        <v>10.0625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0.5224985647159488</v>
      </c>
      <c r="C8" s="22">
        <f t="shared" si="3"/>
        <v>0.72</v>
      </c>
      <c r="D8" s="22">
        <f t="shared" si="0"/>
        <v>-0.15643446504021649</v>
      </c>
      <c r="E8" s="24">
        <v>10.0625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0.92387953251128674</v>
      </c>
      <c r="C9" s="22">
        <f t="shared" si="3"/>
        <v>0.84</v>
      </c>
      <c r="D9" s="22">
        <f t="shared" si="0"/>
        <v>0.45399049973955025</v>
      </c>
      <c r="E9" s="24">
        <v>10.0625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0.972369920397677</v>
      </c>
      <c r="C10" s="22">
        <f t="shared" si="3"/>
        <v>0.96</v>
      </c>
      <c r="D10" s="22">
        <f t="shared" si="0"/>
        <v>0.89100652418837123</v>
      </c>
      <c r="E10" s="24">
        <v>10.0625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0.64944804833018444</v>
      </c>
      <c r="C11" s="22">
        <f t="shared" si="3"/>
        <v>1.08</v>
      </c>
      <c r="D11" s="22">
        <f t="shared" si="0"/>
        <v>0.98768834059513821</v>
      </c>
      <c r="E11" s="24">
        <v>10.0625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7.8459095727846026E-2</v>
      </c>
      <c r="C12" s="22">
        <f t="shared" si="3"/>
        <v>1.2000000000000002</v>
      </c>
      <c r="D12" s="22">
        <f t="shared" si="0"/>
        <v>0.70710678118654735</v>
      </c>
      <c r="E12" s="24">
        <v>10.0625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-0.52249856471594713</v>
      </c>
      <c r="C13" s="22">
        <f t="shared" si="3"/>
        <v>1.3200000000000003</v>
      </c>
      <c r="D13" s="22">
        <f t="shared" si="0"/>
        <v>0.15643446504021311</v>
      </c>
      <c r="E13" s="24">
        <v>10.0625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-0.92387953251128563</v>
      </c>
      <c r="C14" s="22">
        <f t="shared" si="3"/>
        <v>1.4400000000000004</v>
      </c>
      <c r="D14" s="22">
        <f t="shared" si="0"/>
        <v>-0.45399049973954064</v>
      </c>
      <c r="E14" s="24">
        <v>10.0625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-0.97236992039767745</v>
      </c>
      <c r="C15" s="22">
        <f t="shared" si="3"/>
        <v>1.5600000000000005</v>
      </c>
      <c r="D15" s="22">
        <f t="shared" si="0"/>
        <v>-0.89100652418837278</v>
      </c>
      <c r="E15" s="24">
        <v>10.0625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-0.64944804833018588</v>
      </c>
      <c r="C16" s="22">
        <f t="shared" si="3"/>
        <v>1.6800000000000006</v>
      </c>
      <c r="D16" s="22">
        <f t="shared" si="0"/>
        <v>-0.98768834059513544</v>
      </c>
      <c r="E16" s="24">
        <v>10.0625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-7.8459095727847469E-2</v>
      </c>
      <c r="C17" s="22">
        <f t="shared" si="3"/>
        <v>1.8000000000000007</v>
      </c>
      <c r="D17" s="22">
        <f t="shared" si="0"/>
        <v>-0.70710678118654491</v>
      </c>
      <c r="E17" s="24">
        <v>10.0625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0.52249856471594747</v>
      </c>
      <c r="C18" s="22">
        <f t="shared" si="3"/>
        <v>1.9200000000000008</v>
      </c>
      <c r="D18" s="22">
        <f t="shared" si="0"/>
        <v>-0.15643446504022376</v>
      </c>
      <c r="E18" s="24">
        <v>10.0625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0.92387953251128629</v>
      </c>
      <c r="C19" s="22">
        <f t="shared" si="3"/>
        <v>2.0400000000000009</v>
      </c>
      <c r="D19" s="22">
        <f t="shared" si="0"/>
        <v>0.4539904997395437</v>
      </c>
      <c r="E19" s="24">
        <v>10.0625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0.97236992039767678</v>
      </c>
      <c r="C20" s="22">
        <f t="shared" si="3"/>
        <v>2.160000000000001</v>
      </c>
      <c r="D20" s="22">
        <f t="shared" si="0"/>
        <v>0.89100652418837434</v>
      </c>
      <c r="E20" s="24">
        <v>10.0625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0.64944804833018388</v>
      </c>
      <c r="C21" s="22">
        <f t="shared" si="3"/>
        <v>2.2800000000000011</v>
      </c>
      <c r="D21" s="22">
        <f t="shared" si="0"/>
        <v>0.98768834059513499</v>
      </c>
      <c r="E21" s="24">
        <v>10.0625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7.8459095727843264E-2</v>
      </c>
      <c r="C22" s="22">
        <f t="shared" si="3"/>
        <v>2.4000000000000012</v>
      </c>
      <c r="D22" s="22">
        <f t="shared" si="0"/>
        <v>0.70710678118654247</v>
      </c>
      <c r="E22" s="24">
        <v>10.0625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 Com Taylor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2024-11-08T15:40:42Z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