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cefsaedu-my.sharepoint.com/personal/082230001_faculdade_cefsa_edu_br/Documents/projetos/PBL - 3S/"/>
    </mc:Choice>
  </mc:AlternateContent>
  <xr:revisionPtr revIDLastSave="42378" documentId="13_ncr:1_{DDDACED9-30C1-49B3-A7A8-BCEB3346C61C}" xr6:coauthVersionLast="47" xr6:coauthVersionMax="47" xr10:uidLastSave="{CB99B36F-F076-47E5-9E77-99A96665A709}"/>
  <bookViews>
    <workbookView xWindow="-120" yWindow="-120" windowWidth="29040" windowHeight="15840" xr2:uid="{9B452E65-EE66-4AAC-81BA-5408C29E36FC}"/>
  </bookViews>
  <sheets>
    <sheet name="Consulta" sheetId="2" r:id="rId1"/>
    <sheet name="Sandbox" sheetId="1" r:id="rId2"/>
    <sheet name="Comparador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C3" i="4"/>
  <c r="D3" i="4" s="1"/>
  <c r="A3" i="4"/>
  <c r="A4" i="4" s="1"/>
  <c r="B4" i="4" s="1"/>
  <c r="B2" i="4"/>
  <c r="A13" i="1"/>
  <c r="B13" i="1" s="1"/>
  <c r="A3" i="2"/>
  <c r="A4" i="2" s="1"/>
  <c r="B4" i="2" s="1"/>
  <c r="B2" i="2"/>
  <c r="B2" i="1"/>
  <c r="A3" i="1"/>
  <c r="A4" i="1" s="1"/>
  <c r="A5" i="1" s="1"/>
  <c r="A6" i="1" s="1"/>
  <c r="A7" i="1" s="1"/>
  <c r="A8" i="1" s="1"/>
  <c r="A9" i="1" s="1"/>
  <c r="A10" i="1" s="1"/>
  <c r="A11" i="1" s="1"/>
  <c r="A12" i="1" s="1"/>
  <c r="C4" i="4" l="1"/>
  <c r="B3" i="4"/>
  <c r="A5" i="4"/>
  <c r="B5" i="4" s="1"/>
  <c r="A14" i="1"/>
  <c r="B3" i="2"/>
  <c r="A5" i="2"/>
  <c r="B5" i="2" s="1"/>
  <c r="B10" i="1"/>
  <c r="B5" i="1"/>
  <c r="B3" i="1"/>
  <c r="B11" i="1"/>
  <c r="B9" i="1"/>
  <c r="B8" i="1"/>
  <c r="B7" i="1"/>
  <c r="B6" i="1"/>
  <c r="B4" i="1"/>
  <c r="B12" i="1"/>
  <c r="D4" i="4" l="1"/>
  <c r="C5" i="4"/>
  <c r="A6" i="4"/>
  <c r="B6" i="4" s="1"/>
  <c r="B14" i="1"/>
  <c r="A15" i="1"/>
  <c r="A6" i="2"/>
  <c r="B6" i="2" s="1"/>
  <c r="C6" i="4" l="1"/>
  <c r="D5" i="4"/>
  <c r="A7" i="4"/>
  <c r="B7" i="4" s="1"/>
  <c r="B15" i="1"/>
  <c r="A16" i="1"/>
  <c r="A7" i="2"/>
  <c r="B7" i="2" s="1"/>
  <c r="C7" i="4" l="1"/>
  <c r="D6" i="4"/>
  <c r="A8" i="4"/>
  <c r="B8" i="4" s="1"/>
  <c r="B16" i="1"/>
  <c r="A17" i="1"/>
  <c r="A8" i="2"/>
  <c r="B8" i="2" s="1"/>
  <c r="C8" i="4" l="1"/>
  <c r="D7" i="4"/>
  <c r="A9" i="4"/>
  <c r="B9" i="4" s="1"/>
  <c r="B17" i="1"/>
  <c r="A18" i="1"/>
  <c r="A9" i="2"/>
  <c r="B9" i="2" s="1"/>
  <c r="C9" i="4" l="1"/>
  <c r="D8" i="4"/>
  <c r="A10" i="4"/>
  <c r="B10" i="4" s="1"/>
  <c r="A19" i="1"/>
  <c r="B18" i="1"/>
  <c r="A10" i="2"/>
  <c r="B10" i="2" s="1"/>
  <c r="C10" i="4" l="1"/>
  <c r="D9" i="4"/>
  <c r="A11" i="4"/>
  <c r="B11" i="4" s="1"/>
  <c r="B19" i="1"/>
  <c r="A20" i="1"/>
  <c r="A11" i="2"/>
  <c r="B11" i="2" s="1"/>
  <c r="C11" i="4" l="1"/>
  <c r="D10" i="4"/>
  <c r="A12" i="4"/>
  <c r="B12" i="4" s="1"/>
  <c r="A21" i="1"/>
  <c r="B20" i="1"/>
  <c r="A12" i="2"/>
  <c r="C12" i="4" l="1"/>
  <c r="D11" i="4"/>
  <c r="A13" i="4"/>
  <c r="B13" i="4" s="1"/>
  <c r="B12" i="2"/>
  <c r="A13" i="2"/>
  <c r="B21" i="1"/>
  <c r="A22" i="1"/>
  <c r="B22" i="1" s="1"/>
  <c r="C13" i="4" l="1"/>
  <c r="D12" i="4"/>
  <c r="A14" i="4"/>
  <c r="B14" i="4" s="1"/>
  <c r="B13" i="2"/>
  <c r="A14" i="2"/>
  <c r="C14" i="4" l="1"/>
  <c r="D13" i="4"/>
  <c r="A15" i="4"/>
  <c r="B15" i="4" s="1"/>
  <c r="B14" i="2"/>
  <c r="A15" i="2"/>
  <c r="C15" i="4" l="1"/>
  <c r="D14" i="4"/>
  <c r="A16" i="4"/>
  <c r="B16" i="4" s="1"/>
  <c r="B15" i="2"/>
  <c r="A16" i="2"/>
  <c r="C16" i="4" l="1"/>
  <c r="D15" i="4"/>
  <c r="A17" i="4"/>
  <c r="B17" i="4" s="1"/>
  <c r="B16" i="2"/>
  <c r="A17" i="2"/>
  <c r="C17" i="4" l="1"/>
  <c r="D16" i="4"/>
  <c r="A18" i="4"/>
  <c r="B18" i="4" s="1"/>
  <c r="A18" i="2"/>
  <c r="B17" i="2"/>
  <c r="C18" i="4" l="1"/>
  <c r="D17" i="4"/>
  <c r="A19" i="4"/>
  <c r="B19" i="4" s="1"/>
  <c r="A19" i="2"/>
  <c r="B18" i="2"/>
  <c r="C19" i="4" l="1"/>
  <c r="D18" i="4"/>
  <c r="A20" i="4"/>
  <c r="B20" i="4" s="1"/>
  <c r="B19" i="2"/>
  <c r="A20" i="2"/>
  <c r="C20" i="4" l="1"/>
  <c r="D19" i="4"/>
  <c r="A21" i="4"/>
  <c r="B21" i="4" s="1"/>
  <c r="B20" i="2"/>
  <c r="A21" i="2"/>
  <c r="C21" i="4" l="1"/>
  <c r="D20" i="4"/>
  <c r="A22" i="4"/>
  <c r="B22" i="4" s="1"/>
  <c r="B21" i="2"/>
  <c r="A22" i="2"/>
  <c r="B22" i="2" s="1"/>
  <c r="C22" i="4" l="1"/>
  <c r="D22" i="4" s="1"/>
  <c r="D21" i="4"/>
</calcChain>
</file>

<file path=xl/sharedStrings.xml><?xml version="1.0" encoding="utf-8"?>
<sst xmlns="http://schemas.openxmlformats.org/spreadsheetml/2006/main" count="27" uniqueCount="13">
  <si>
    <t>ID</t>
  </si>
  <si>
    <t>x</t>
  </si>
  <si>
    <t>y</t>
  </si>
  <si>
    <t>t</t>
  </si>
  <si>
    <t>SANDBOX</t>
  </si>
  <si>
    <t>f</t>
  </si>
  <si>
    <t>λ</t>
  </si>
  <si>
    <r>
      <rPr>
        <b/>
        <sz val="16"/>
        <color theme="0"/>
        <rFont val="Aptos Narrow"/>
        <family val="2"/>
      </rPr>
      <t>Δ</t>
    </r>
    <r>
      <rPr>
        <b/>
        <sz val="16"/>
        <color theme="0"/>
        <rFont val="Arial"/>
        <family val="2"/>
      </rPr>
      <t>t</t>
    </r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</si>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</sst>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4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5" fontId="5" fillId="3" borderId="1" xfId="0" applyNumberFormat="1" applyFont="1" applyFill="1" applyBorder="1" applyAlignment="1">
      <alignment horizontal="center" vertical="center"/>
    </xf>
    <xf numFmtId="166" fontId="5" fillId="3" borderId="1" xfId="0" applyNumberFormat="1" applyFont="1" applyFill="1" applyBorder="1" applyAlignment="1">
      <alignment horizontal="center" vertical="center"/>
    </xf>
    <xf numFmtId="167" fontId="5" fillId="3" borderId="1" xfId="0" applyNumberFormat="1" applyFont="1" applyFill="1" applyBorder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65" fontId="8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167" fontId="8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65" fontId="5" fillId="6" borderId="1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167" fontId="13" fillId="7" borderId="4" xfId="0" applyNumberFormat="1" applyFont="1" applyFill="1" applyBorder="1" applyAlignment="1">
      <alignment horizontal="center" vertical="center"/>
    </xf>
    <xf numFmtId="167" fontId="13" fillId="7" borderId="5" xfId="0" applyNumberFormat="1" applyFont="1" applyFill="1" applyBorder="1" applyAlignment="1">
      <alignment horizontal="center" vertical="center"/>
    </xf>
    <xf numFmtId="167" fontId="13" fillId="7" borderId="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0</c:v>
                </c:pt>
                <c:pt idx="1">
                  <c:v>-0.58778525229247314</c:v>
                </c:pt>
                <c:pt idx="2">
                  <c:v>-0.95105651629515353</c:v>
                </c:pt>
                <c:pt idx="3">
                  <c:v>-0.95105651629515353</c:v>
                </c:pt>
                <c:pt idx="4">
                  <c:v>-0.58778525229247325</c:v>
                </c:pt>
                <c:pt idx="5">
                  <c:v>-1.22514845490862E-16</c:v>
                </c:pt>
                <c:pt idx="6">
                  <c:v>0.58778525229247303</c:v>
                </c:pt>
                <c:pt idx="7">
                  <c:v>0.95105651629515353</c:v>
                </c:pt>
                <c:pt idx="8">
                  <c:v>0.95105651629515364</c:v>
                </c:pt>
                <c:pt idx="9">
                  <c:v>0.58778525229247403</c:v>
                </c:pt>
                <c:pt idx="10">
                  <c:v>1.1332081106818492E-15</c:v>
                </c:pt>
                <c:pt idx="11">
                  <c:v>-0.58778525229247214</c:v>
                </c:pt>
                <c:pt idx="12">
                  <c:v>-0.95105651629515353</c:v>
                </c:pt>
                <c:pt idx="13">
                  <c:v>-0.95105651629515364</c:v>
                </c:pt>
                <c:pt idx="14">
                  <c:v>-0.58778525229247336</c:v>
                </c:pt>
                <c:pt idx="15">
                  <c:v>1.4088123029276645E-15</c:v>
                </c:pt>
                <c:pt idx="16">
                  <c:v>0.58778525229247425</c:v>
                </c:pt>
                <c:pt idx="17">
                  <c:v>0.95105651629515398</c:v>
                </c:pt>
                <c:pt idx="18">
                  <c:v>0.95105651629515264</c:v>
                </c:pt>
                <c:pt idx="19">
                  <c:v>0.58778525229247058</c:v>
                </c:pt>
                <c:pt idx="20">
                  <c:v>-3.0626542968370529E-15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</a:t>
            </a:r>
            <a:r>
              <a:rPr lang="en-US" baseline="0"/>
              <a:t> senoidal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Sandbox!$B$1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Sandbox!$A$2:$A$22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Sandbox!$B$2:$B$22</c:f>
              <c:numCache>
                <c:formatCode>0.000</c:formatCode>
                <c:ptCount val="21"/>
                <c:pt idx="0">
                  <c:v>0.55557023301960218</c:v>
                </c:pt>
                <c:pt idx="1">
                  <c:v>0.93819133592248405</c:v>
                </c:pt>
                <c:pt idx="2">
                  <c:v>0.96245523645364728</c:v>
                </c:pt>
                <c:pt idx="3">
                  <c:v>0.61909394930983375</c:v>
                </c:pt>
                <c:pt idx="4">
                  <c:v>3.9259815759068471E-2</c:v>
                </c:pt>
                <c:pt idx="5">
                  <c:v>-0.55557023301960218</c:v>
                </c:pt>
                <c:pt idx="6">
                  <c:v>-0.93819133592248405</c:v>
                </c:pt>
                <c:pt idx="7">
                  <c:v>-0.96245523645364739</c:v>
                </c:pt>
                <c:pt idx="8">
                  <c:v>-0.61909394930983419</c:v>
                </c:pt>
                <c:pt idx="9">
                  <c:v>-3.9259815759069394E-2</c:v>
                </c:pt>
                <c:pt idx="10">
                  <c:v>0.55557023301960151</c:v>
                </c:pt>
                <c:pt idx="11">
                  <c:v>0.93819133592248372</c:v>
                </c:pt>
                <c:pt idx="12">
                  <c:v>0.96245523645364739</c:v>
                </c:pt>
                <c:pt idx="13">
                  <c:v>0.61909394930983364</c:v>
                </c:pt>
                <c:pt idx="14">
                  <c:v>3.9259815759068187E-2</c:v>
                </c:pt>
                <c:pt idx="15">
                  <c:v>-0.55557023301960329</c:v>
                </c:pt>
                <c:pt idx="16">
                  <c:v>-0.9381913359224846</c:v>
                </c:pt>
                <c:pt idx="17">
                  <c:v>-0.9624552364536465</c:v>
                </c:pt>
                <c:pt idx="18">
                  <c:v>-0.61909394930983164</c:v>
                </c:pt>
                <c:pt idx="19">
                  <c:v>-3.9259815759065647E-2</c:v>
                </c:pt>
                <c:pt idx="20">
                  <c:v>0.55557023301960462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2B-4DE4-8887-DB4530B8E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1.4999999999999998</c:v>
                </c:pt>
                <c:pt idx="11">
                  <c:v>1.6499999999999997</c:v>
                </c:pt>
                <c:pt idx="12">
                  <c:v>1.7999999999999996</c:v>
                </c:pt>
                <c:pt idx="13">
                  <c:v>1.9499999999999995</c:v>
                </c:pt>
                <c:pt idx="14">
                  <c:v>2.0999999999999996</c:v>
                </c:pt>
                <c:pt idx="15">
                  <c:v>2.2499999999999996</c:v>
                </c:pt>
                <c:pt idx="16">
                  <c:v>2.3999999999999995</c:v>
                </c:pt>
                <c:pt idx="17">
                  <c:v>2.5499999999999994</c:v>
                </c:pt>
                <c:pt idx="18">
                  <c:v>2.6999999999999993</c:v>
                </c:pt>
                <c:pt idx="19">
                  <c:v>2.8499999999999992</c:v>
                </c:pt>
                <c:pt idx="20">
                  <c:v>2.9999999999999991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0.36903718106406086</c:v>
                </c:pt>
                <c:pt idx="1">
                  <c:v>-0.24773886317560082</c:v>
                </c:pt>
                <c:pt idx="2">
                  <c:v>-0.76988708201644829</c:v>
                </c:pt>
                <c:pt idx="3">
                  <c:v>-0.99796460302648682</c:v>
                </c:pt>
                <c:pt idx="4">
                  <c:v>-0.8448535652497039</c:v>
                </c:pt>
                <c:pt idx="5">
                  <c:v>-0.3690371810640643</c:v>
                </c:pt>
                <c:pt idx="6">
                  <c:v>0.24773886317560415</c:v>
                </c:pt>
                <c:pt idx="7">
                  <c:v>0.76988708201645051</c:v>
                </c:pt>
                <c:pt idx="8">
                  <c:v>0.99796460302648704</c:v>
                </c:pt>
                <c:pt idx="9">
                  <c:v>0.8448535652497059</c:v>
                </c:pt>
                <c:pt idx="10">
                  <c:v>0.36903718106406108</c:v>
                </c:pt>
                <c:pt idx="11">
                  <c:v>-0.24773886317560057</c:v>
                </c:pt>
                <c:pt idx="12">
                  <c:v>-0.76988708201644807</c:v>
                </c:pt>
                <c:pt idx="13">
                  <c:v>-0.99796460302648671</c:v>
                </c:pt>
                <c:pt idx="14">
                  <c:v>-0.84485356524970778</c:v>
                </c:pt>
                <c:pt idx="15">
                  <c:v>-0.36903718106406452</c:v>
                </c:pt>
                <c:pt idx="16">
                  <c:v>0.2477388631756039</c:v>
                </c:pt>
                <c:pt idx="17">
                  <c:v>0.76988708201644573</c:v>
                </c:pt>
                <c:pt idx="18">
                  <c:v>0.99796460302648693</c:v>
                </c:pt>
                <c:pt idx="19">
                  <c:v>0.84485356524970601</c:v>
                </c:pt>
                <c:pt idx="20">
                  <c:v>0.36903718106406791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5.3969889209501277E-2</c:v>
                </c:pt>
                <c:pt idx="1">
                  <c:v>-0.54326603503822402</c:v>
                </c:pt>
                <c:pt idx="2">
                  <c:v>-0.93299279883473907</c:v>
                </c:pt>
                <c:pt idx="3">
                  <c:v>-0.96634802473527714</c:v>
                </c:pt>
                <c:pt idx="4">
                  <c:v>-0.63059115014826339</c:v>
                </c:pt>
                <c:pt idx="5">
                  <c:v>-5.3969889209501402E-2</c:v>
                </c:pt>
                <c:pt idx="6">
                  <c:v>0.5432660350382239</c:v>
                </c:pt>
                <c:pt idx="7">
                  <c:v>0.93299279883473885</c:v>
                </c:pt>
                <c:pt idx="8">
                  <c:v>0.96634802473527726</c:v>
                </c:pt>
                <c:pt idx="9">
                  <c:v>0.63059115014826406</c:v>
                </c:pt>
                <c:pt idx="10">
                  <c:v>5.3969889209502298E-2</c:v>
                </c:pt>
                <c:pt idx="11">
                  <c:v>-0.54326603503822313</c:v>
                </c:pt>
                <c:pt idx="12">
                  <c:v>-0.93299279883473885</c:v>
                </c:pt>
                <c:pt idx="13">
                  <c:v>-0.96634802473527714</c:v>
                </c:pt>
                <c:pt idx="14">
                  <c:v>-0.63059115014826295</c:v>
                </c:pt>
                <c:pt idx="15">
                  <c:v>-5.3969889209500313E-2</c:v>
                </c:pt>
                <c:pt idx="16">
                  <c:v>0.54326603503822524</c:v>
                </c:pt>
                <c:pt idx="17">
                  <c:v>0.93299279883473996</c:v>
                </c:pt>
                <c:pt idx="18">
                  <c:v>0.96634802473527648</c:v>
                </c:pt>
                <c:pt idx="19">
                  <c:v>0.63059115014826095</c:v>
                </c:pt>
                <c:pt idx="20">
                  <c:v>5.3969889209499106E-2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jpe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463399</xdr:colOff>
      <xdr:row>7</xdr:row>
      <xdr:rowOff>161924</xdr:rowOff>
    </xdr:from>
    <xdr:to>
      <xdr:col>22</xdr:col>
      <xdr:colOff>191564</xdr:colOff>
      <xdr:row>14</xdr:row>
      <xdr:rowOff>77037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399" y="1990724"/>
          <a:ext cx="1585540" cy="1248613"/>
        </a:xfrm>
        <a:prstGeom prst="rect">
          <a:avLst/>
        </a:prstGeom>
      </xdr:spPr>
    </xdr:pic>
    <xdr:clientData/>
  </xdr:twoCellAnchor>
  <xdr:twoCellAnchor editAs="oneCell">
    <xdr:from>
      <xdr:col>22</xdr:col>
      <xdr:colOff>171450</xdr:colOff>
      <xdr:row>7</xdr:row>
      <xdr:rowOff>133350</xdr:rowOff>
    </xdr:from>
    <xdr:to>
      <xdr:col>23</xdr:col>
      <xdr:colOff>437092</xdr:colOff>
      <xdr:row>14</xdr:row>
      <xdr:rowOff>66675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0825" y="1962150"/>
          <a:ext cx="1608667" cy="1266825"/>
        </a:xfrm>
        <a:prstGeom prst="rect">
          <a:avLst/>
        </a:prstGeom>
      </xdr:spPr>
    </xdr:pic>
    <xdr:clientData/>
  </xdr:twoCellAnchor>
  <xdr:twoCellAnchor editAs="oneCell">
    <xdr:from>
      <xdr:col>21</xdr:col>
      <xdr:colOff>657226</xdr:colOff>
      <xdr:row>14</xdr:row>
      <xdr:rowOff>28576</xdr:rowOff>
    </xdr:from>
    <xdr:to>
      <xdr:col>22</xdr:col>
      <xdr:colOff>1000125</xdr:colOff>
      <xdr:row>20</xdr:row>
      <xdr:rowOff>138232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6" y="3190876"/>
          <a:ext cx="1590674" cy="1252656"/>
        </a:xfrm>
        <a:prstGeom prst="rect">
          <a:avLst/>
        </a:prstGeom>
      </xdr:spPr>
    </xdr:pic>
    <xdr:clientData/>
  </xdr:twoCellAnchor>
  <xdr:twoCellAnchor editAs="oneCell">
    <xdr:from>
      <xdr:col>20</xdr:col>
      <xdr:colOff>428625</xdr:colOff>
      <xdr:row>23</xdr:row>
      <xdr:rowOff>104775</xdr:rowOff>
    </xdr:from>
    <xdr:to>
      <xdr:col>21</xdr:col>
      <xdr:colOff>1190625</xdr:colOff>
      <xdr:row>30</xdr:row>
      <xdr:rowOff>142875</xdr:rowOff>
    </xdr:to>
    <xdr:pic macro="[0]!abrirFormPDF">
      <xdr:nvPicPr>
        <xdr:cNvPr id="5" name="Imagem 4">
          <a:extLst>
            <a:ext uri="{FF2B5EF4-FFF2-40B4-BE49-F238E27FC236}">
              <a16:creationId xmlns:a16="http://schemas.microsoft.com/office/drawing/2014/main" id="{565DE57D-D166-C7EB-9DAB-A5CFF1BC4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0625" y="4991100"/>
          <a:ext cx="1371600" cy="1371600"/>
        </a:xfrm>
        <a:prstGeom prst="rect">
          <a:avLst/>
        </a:prstGeom>
      </xdr:spPr>
    </xdr:pic>
    <xdr:clientData/>
  </xdr:twoCellAnchor>
  <xdr:twoCellAnchor editAs="oneCell">
    <xdr:from>
      <xdr:col>21</xdr:col>
      <xdr:colOff>1104901</xdr:colOff>
      <xdr:row>24</xdr:row>
      <xdr:rowOff>104776</xdr:rowOff>
    </xdr:from>
    <xdr:to>
      <xdr:col>22</xdr:col>
      <xdr:colOff>838200</xdr:colOff>
      <xdr:row>29</xdr:row>
      <xdr:rowOff>133350</xdr:rowOff>
    </xdr:to>
    <xdr:pic macro="[0]!abrirFormWav">
      <xdr:nvPicPr>
        <xdr:cNvPr id="6" name="Imagem 5">
          <a:extLst>
            <a:ext uri="{FF2B5EF4-FFF2-40B4-BE49-F238E27FC236}">
              <a16:creationId xmlns:a16="http://schemas.microsoft.com/office/drawing/2014/main" id="{3F6633F3-A897-8BB0-7C66-409FFF92C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1" y="5181601"/>
          <a:ext cx="981074" cy="9810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0</xdr:row>
      <xdr:rowOff>0</xdr:rowOff>
    </xdr:from>
    <xdr:to>
      <xdr:col>20</xdr:col>
      <xdr:colOff>9525</xdr:colOff>
      <xdr:row>33</xdr:row>
      <xdr:rowOff>171450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C2224C6-820C-196C-54A7-E567EC1BF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24</xdr:row>
      <xdr:rowOff>133349</xdr:rowOff>
    </xdr:from>
    <xdr:to>
      <xdr:col>2</xdr:col>
      <xdr:colOff>347290</xdr:colOff>
      <xdr:row>31</xdr:row>
      <xdr:rowOff>48462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A2F2E6A7-C6C5-A991-D8DD-97E072919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6349"/>
          <a:ext cx="1585540" cy="12486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615799</xdr:colOff>
      <xdr:row>23</xdr:row>
      <xdr:rowOff>152399</xdr:rowOff>
    </xdr:from>
    <xdr:to>
      <xdr:col>3</xdr:col>
      <xdr:colOff>343964</xdr:colOff>
      <xdr:row>30</xdr:row>
      <xdr:rowOff>67512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799" y="4914899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tabSelected="1" workbookViewId="0">
      <selection activeCell="Y19" sqref="Y19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8" t="s">
        <v>1</v>
      </c>
      <c r="B1" s="28" t="s">
        <v>2</v>
      </c>
      <c r="C1" s="28" t="s">
        <v>3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9" t="s">
        <v>0</v>
      </c>
      <c r="W1" s="10">
        <v>45</v>
      </c>
      <c r="X1" s="15"/>
      <c r="Y1" s="15"/>
      <c r="Z1" s="15"/>
      <c r="AA1" s="15"/>
      <c r="AB1" s="15"/>
    </row>
    <row r="2" spans="1:28" ht="23.25" x14ac:dyDescent="0.25">
      <c r="A2" s="27">
        <v>0</v>
      </c>
      <c r="B2" s="27">
        <f>IFERROR(SIN(2*PI()*($W$2*C2-A2/$W$3)),0)</f>
        <v>0</v>
      </c>
      <c r="C2" s="29">
        <v>0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0" t="s">
        <v>5</v>
      </c>
      <c r="W2" s="11">
        <v>1</v>
      </c>
      <c r="X2" s="15"/>
      <c r="Y2" s="15"/>
      <c r="Z2" s="15"/>
      <c r="AA2" s="15"/>
      <c r="AB2" s="15"/>
    </row>
    <row r="3" spans="1:28" ht="23.25" x14ac:dyDescent="0.25">
      <c r="A3" s="27">
        <f>$W$3/10</f>
        <v>0.1</v>
      </c>
      <c r="B3" s="27">
        <f t="shared" ref="B3:B12" si="0">IFERROR(SIN(2*PI()*($W$2*C3-A3/$W$3)),0)</f>
        <v>-0.58778525229247314</v>
      </c>
      <c r="C3" s="29">
        <v>0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2" t="s">
        <v>6</v>
      </c>
      <c r="W3" s="13">
        <v>1</v>
      </c>
      <c r="X3" s="15"/>
      <c r="Y3" s="15"/>
      <c r="Z3" s="15"/>
      <c r="AA3" s="15"/>
      <c r="AB3" s="15"/>
    </row>
    <row r="4" spans="1:28" ht="23.25" x14ac:dyDescent="0.25">
      <c r="A4" s="27">
        <f>A3+$A$3</f>
        <v>0.2</v>
      </c>
      <c r="B4" s="27">
        <f t="shared" si="0"/>
        <v>-0.95105651629515353</v>
      </c>
      <c r="C4" s="29">
        <v>0</v>
      </c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0" t="s">
        <v>8</v>
      </c>
      <c r="W4" s="14">
        <v>10</v>
      </c>
      <c r="X4" s="15"/>
      <c r="Y4" s="15"/>
      <c r="Z4" s="15"/>
      <c r="AA4" s="15"/>
      <c r="AB4" s="15"/>
    </row>
    <row r="5" spans="1:28" ht="23.25" x14ac:dyDescent="0.25">
      <c r="A5" s="27">
        <f t="shared" ref="A5:A22" si="1">A4+$A$3</f>
        <v>0.30000000000000004</v>
      </c>
      <c r="B5" s="27">
        <f t="shared" si="0"/>
        <v>-0.95105651629515353</v>
      </c>
      <c r="C5" s="29">
        <v>0</v>
      </c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0" t="s">
        <v>9</v>
      </c>
      <c r="W5" s="17">
        <v>1</v>
      </c>
      <c r="X5" s="15"/>
      <c r="Y5" s="15"/>
      <c r="Z5" s="15"/>
      <c r="AA5" s="15"/>
      <c r="AB5" s="15"/>
    </row>
    <row r="6" spans="1:28" x14ac:dyDescent="0.25">
      <c r="A6" s="27">
        <f t="shared" si="1"/>
        <v>0.4</v>
      </c>
      <c r="B6" s="27">
        <f t="shared" si="0"/>
        <v>-0.58778525229247325</v>
      </c>
      <c r="C6" s="29">
        <v>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</row>
    <row r="7" spans="1:28" x14ac:dyDescent="0.25">
      <c r="A7" s="27">
        <f t="shared" si="1"/>
        <v>0.5</v>
      </c>
      <c r="B7" s="27">
        <f t="shared" si="0"/>
        <v>-1.22514845490862E-16</v>
      </c>
      <c r="C7" s="29">
        <v>0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</row>
    <row r="8" spans="1:28" x14ac:dyDescent="0.25">
      <c r="A8" s="27">
        <f t="shared" si="1"/>
        <v>0.6</v>
      </c>
      <c r="B8" s="27">
        <f t="shared" si="0"/>
        <v>0.58778525229247303</v>
      </c>
      <c r="C8" s="29">
        <v>0</v>
      </c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</row>
    <row r="9" spans="1:28" x14ac:dyDescent="0.25">
      <c r="A9" s="27">
        <f t="shared" si="1"/>
        <v>0.7</v>
      </c>
      <c r="B9" s="27">
        <f t="shared" si="0"/>
        <v>0.95105651629515353</v>
      </c>
      <c r="C9" s="29">
        <v>0</v>
      </c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</row>
    <row r="10" spans="1:28" x14ac:dyDescent="0.25">
      <c r="A10" s="27">
        <f t="shared" si="1"/>
        <v>0.79999999999999993</v>
      </c>
      <c r="B10" s="27">
        <f t="shared" si="0"/>
        <v>0.95105651629515364</v>
      </c>
      <c r="C10" s="29">
        <v>0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</row>
    <row r="11" spans="1:28" x14ac:dyDescent="0.25">
      <c r="A11" s="27">
        <f t="shared" si="1"/>
        <v>0.89999999999999991</v>
      </c>
      <c r="B11" s="27">
        <f t="shared" si="0"/>
        <v>0.58778525229247403</v>
      </c>
      <c r="C11" s="29">
        <v>0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</row>
    <row r="12" spans="1:28" x14ac:dyDescent="0.25">
      <c r="A12" s="27">
        <f t="shared" si="1"/>
        <v>0.99999999999999989</v>
      </c>
      <c r="B12" s="27">
        <f t="shared" si="0"/>
        <v>1.1332081106818492E-15</v>
      </c>
      <c r="C12" s="29">
        <v>0</v>
      </c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</row>
    <row r="13" spans="1:28" x14ac:dyDescent="0.25">
      <c r="A13" s="27">
        <f t="shared" si="1"/>
        <v>1.0999999999999999</v>
      </c>
      <c r="B13" s="27">
        <f t="shared" ref="B13:B22" si="2">IFERROR(SIN(2*PI()*($W$2*C13-A13/$W$3)),0)</f>
        <v>-0.58778525229247214</v>
      </c>
      <c r="C13" s="29">
        <v>0</v>
      </c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</row>
    <row r="14" spans="1:28" x14ac:dyDescent="0.25">
      <c r="A14" s="27">
        <f t="shared" si="1"/>
        <v>1.2</v>
      </c>
      <c r="B14" s="27">
        <f t="shared" si="2"/>
        <v>-0.95105651629515353</v>
      </c>
      <c r="C14" s="29">
        <v>0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</row>
    <row r="15" spans="1:28" x14ac:dyDescent="0.25">
      <c r="A15" s="27">
        <f t="shared" si="1"/>
        <v>1.3</v>
      </c>
      <c r="B15" s="27">
        <f t="shared" si="2"/>
        <v>-0.95105651629515364</v>
      </c>
      <c r="C15" s="29">
        <v>0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</row>
    <row r="16" spans="1:28" x14ac:dyDescent="0.25">
      <c r="A16" s="27">
        <f t="shared" si="1"/>
        <v>1.4000000000000001</v>
      </c>
      <c r="B16" s="27">
        <f t="shared" si="2"/>
        <v>-0.58778525229247336</v>
      </c>
      <c r="C16" s="29">
        <v>0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6"/>
      <c r="X16" s="15"/>
      <c r="Y16" s="15"/>
      <c r="Z16" s="15"/>
      <c r="AA16" s="15"/>
      <c r="AB16" s="15"/>
    </row>
    <row r="17" spans="1:28" x14ac:dyDescent="0.25">
      <c r="A17" s="27">
        <f t="shared" si="1"/>
        <v>1.5000000000000002</v>
      </c>
      <c r="B17" s="27">
        <f t="shared" si="2"/>
        <v>1.4088123029276645E-15</v>
      </c>
      <c r="C17" s="29">
        <v>0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</row>
    <row r="18" spans="1:28" x14ac:dyDescent="0.25">
      <c r="A18" s="27">
        <f t="shared" si="1"/>
        <v>1.6000000000000003</v>
      </c>
      <c r="B18" s="27">
        <f t="shared" si="2"/>
        <v>0.58778525229247425</v>
      </c>
      <c r="C18" s="29">
        <v>0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</row>
    <row r="19" spans="1:28" x14ac:dyDescent="0.25">
      <c r="A19" s="27">
        <f t="shared" si="1"/>
        <v>1.7000000000000004</v>
      </c>
      <c r="B19" s="27">
        <f t="shared" si="2"/>
        <v>0.95105651629515398</v>
      </c>
      <c r="C19" s="29">
        <v>0</v>
      </c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</row>
    <row r="20" spans="1:28" x14ac:dyDescent="0.25">
      <c r="A20" s="27">
        <f t="shared" si="1"/>
        <v>1.8000000000000005</v>
      </c>
      <c r="B20" s="27">
        <f t="shared" si="2"/>
        <v>0.95105651629515264</v>
      </c>
      <c r="C20" s="29">
        <v>0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</row>
    <row r="21" spans="1:28" x14ac:dyDescent="0.25">
      <c r="A21" s="27">
        <f t="shared" si="1"/>
        <v>1.9000000000000006</v>
      </c>
      <c r="B21" s="27">
        <f t="shared" si="2"/>
        <v>0.58778525229247058</v>
      </c>
      <c r="C21" s="29">
        <v>0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</row>
    <row r="22" spans="1:28" x14ac:dyDescent="0.25">
      <c r="A22" s="27">
        <f t="shared" si="1"/>
        <v>2.0000000000000004</v>
      </c>
      <c r="B22" s="27">
        <f t="shared" si="2"/>
        <v>-3.0626542968370529E-15</v>
      </c>
      <c r="C22" s="29">
        <v>0</v>
      </c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</row>
    <row r="23" spans="1:28" x14ac:dyDescent="0.25">
      <c r="A23" s="30"/>
      <c r="B23" s="30"/>
      <c r="C23" s="30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</row>
    <row r="24" spans="1:28" x14ac:dyDescent="0.25">
      <c r="A24" s="30"/>
      <c r="B24" s="30"/>
      <c r="C24" s="7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</row>
    <row r="25" spans="1:28" x14ac:dyDescent="0.25">
      <c r="A25" s="1"/>
      <c r="B25" s="1"/>
      <c r="C25" s="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</row>
    <row r="26" spans="1:28" x14ac:dyDescent="0.25">
      <c r="A26" s="1"/>
      <c r="B26" s="1"/>
      <c r="C26" s="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</row>
    <row r="27" spans="1:28" x14ac:dyDescent="0.25">
      <c r="A27" s="1"/>
      <c r="B27" s="1"/>
      <c r="C27" s="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</row>
    <row r="28" spans="1:28" x14ac:dyDescent="0.25">
      <c r="A28" s="1"/>
      <c r="B28" s="1"/>
      <c r="C28" s="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</row>
    <row r="29" spans="1:28" x14ac:dyDescent="0.25">
      <c r="A29" s="1"/>
      <c r="B29" s="1"/>
      <c r="C29" s="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</row>
    <row r="30" spans="1:28" x14ac:dyDescent="0.25">
      <c r="A30" s="1"/>
      <c r="B30" s="1"/>
      <c r="C30" s="1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</row>
    <row r="31" spans="1:28" x14ac:dyDescent="0.25">
      <c r="A31" s="1"/>
      <c r="B31" s="1"/>
      <c r="C31" s="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</row>
    <row r="32" spans="1:28" x14ac:dyDescent="0.25">
      <c r="A32" s="1"/>
      <c r="B32" s="1"/>
      <c r="C32" s="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</row>
    <row r="33" spans="1:28" x14ac:dyDescent="0.25">
      <c r="A33" s="1"/>
      <c r="B33" s="1"/>
      <c r="C33" s="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</row>
    <row r="34" spans="1:28" x14ac:dyDescent="0.25">
      <c r="A34" s="1"/>
      <c r="B34" s="1"/>
      <c r="C34" s="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</row>
    <row r="35" spans="1:28" x14ac:dyDescent="0.25">
      <c r="A35" s="1"/>
      <c r="B35" s="1"/>
      <c r="C35" s="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</row>
    <row r="36" spans="1:28" x14ac:dyDescent="0.25">
      <c r="A36" s="1"/>
      <c r="B36" s="1"/>
      <c r="C36" s="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</row>
    <row r="37" spans="1:28" x14ac:dyDescent="0.25">
      <c r="A37" s="1"/>
      <c r="B37" s="1"/>
      <c r="C37" s="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</row>
    <row r="38" spans="1:28" x14ac:dyDescent="0.25">
      <c r="A38" s="1"/>
      <c r="B38" s="1"/>
      <c r="C38" s="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</row>
    <row r="39" spans="1:28" x14ac:dyDescent="0.25">
      <c r="A39" s="1"/>
      <c r="B39" s="1"/>
      <c r="C39" s="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</row>
    <row r="40" spans="1:28" x14ac:dyDescent="0.25">
      <c r="A40" s="1"/>
      <c r="B40" s="1"/>
      <c r="C40" s="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</row>
    <row r="41" spans="1:28" x14ac:dyDescent="0.25">
      <c r="A41" s="1"/>
      <c r="B41" s="1"/>
      <c r="C41" s="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</row>
    <row r="42" spans="1:28" x14ac:dyDescent="0.25">
      <c r="A42" s="1"/>
      <c r="B42" s="1"/>
      <c r="C42" s="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</row>
    <row r="43" spans="1:28" x14ac:dyDescent="0.25">
      <c r="A43" s="1"/>
      <c r="B43" s="1"/>
      <c r="C43" s="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</row>
    <row r="44" spans="1:28" x14ac:dyDescent="0.25">
      <c r="A44" s="1"/>
      <c r="B44" s="1"/>
      <c r="C44" s="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</row>
    <row r="45" spans="1:28" x14ac:dyDescent="0.25">
      <c r="A45" s="1"/>
      <c r="B45" s="1"/>
      <c r="C45" s="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2">
    <mergeCell ref="A23:C23"/>
    <mergeCell ref="A24:B2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5C995-1170-4B33-B66D-40449B25975B}">
  <sheetPr codeName="Planilha1"/>
  <dimension ref="A1:AC104"/>
  <sheetViews>
    <sheetView workbookViewId="0">
      <selection activeCell="B17" sqref="B17"/>
    </sheetView>
  </sheetViews>
  <sheetFormatPr defaultRowHeight="15" x14ac:dyDescent="0.25"/>
  <cols>
    <col min="1" max="3" width="9.28515625" style="2" customWidth="1"/>
    <col min="22" max="22" width="10.85546875" customWidth="1"/>
    <col min="23" max="23" width="16.28515625" bestFit="1" customWidth="1"/>
    <col min="24" max="24" width="7.42578125" bestFit="1" customWidth="1"/>
    <col min="25" max="25" width="9.85546875" bestFit="1" customWidth="1"/>
  </cols>
  <sheetData>
    <row r="1" spans="1:29" ht="20.25" x14ac:dyDescent="0.25">
      <c r="A1" s="28" t="s">
        <v>1</v>
      </c>
      <c r="B1" s="28" t="s">
        <v>2</v>
      </c>
      <c r="C1" s="28" t="s">
        <v>3</v>
      </c>
      <c r="U1" s="15"/>
      <c r="V1" s="31" t="s">
        <v>4</v>
      </c>
      <c r="W1" s="32"/>
      <c r="X1" s="15"/>
      <c r="Y1" s="15"/>
      <c r="Z1" s="15"/>
      <c r="AA1" s="15"/>
      <c r="AB1" s="15"/>
      <c r="AC1" s="15"/>
    </row>
    <row r="2" spans="1:29" ht="23.25" x14ac:dyDescent="0.25">
      <c r="A2" s="27">
        <v>0</v>
      </c>
      <c r="B2" s="27">
        <f t="shared" ref="B2:B12" si="0">SIN(2*PI()*($W$2*C2-A2/$W$3))</f>
        <v>0.55557023301960218</v>
      </c>
      <c r="C2" s="29">
        <v>4.0625</v>
      </c>
      <c r="U2" s="15"/>
      <c r="V2" s="3" t="s">
        <v>5</v>
      </c>
      <c r="W2" s="4">
        <v>0.1</v>
      </c>
      <c r="X2" s="15"/>
      <c r="Y2" s="15"/>
      <c r="Z2" s="15"/>
      <c r="AA2" s="15"/>
      <c r="AB2" s="15"/>
      <c r="AC2" s="15"/>
    </row>
    <row r="3" spans="1:29" ht="23.25" x14ac:dyDescent="0.25">
      <c r="A3" s="27">
        <f>$W$3/10</f>
        <v>0.1</v>
      </c>
      <c r="B3" s="27">
        <f t="shared" si="0"/>
        <v>0.93819133592248405</v>
      </c>
      <c r="C3" s="29">
        <v>4.0625</v>
      </c>
      <c r="U3" s="15"/>
      <c r="V3" s="8" t="s">
        <v>6</v>
      </c>
      <c r="W3" s="5">
        <v>1</v>
      </c>
      <c r="X3" s="15"/>
      <c r="Y3" s="15"/>
      <c r="Z3" s="15"/>
      <c r="AA3" s="15"/>
      <c r="AB3" s="15"/>
      <c r="AC3" s="15"/>
    </row>
    <row r="4" spans="1:29" ht="23.25" x14ac:dyDescent="0.25">
      <c r="A4" s="27">
        <f>A3+$A$3</f>
        <v>0.2</v>
      </c>
      <c r="B4" s="27">
        <f t="shared" si="0"/>
        <v>0.96245523645364728</v>
      </c>
      <c r="C4" s="29">
        <v>4.0625</v>
      </c>
      <c r="U4" s="15"/>
      <c r="V4" s="3" t="s">
        <v>7</v>
      </c>
      <c r="W4" s="6">
        <v>4</v>
      </c>
      <c r="X4" s="15"/>
      <c r="Y4" s="15"/>
      <c r="Z4" s="15"/>
      <c r="AA4" s="15"/>
      <c r="AB4" s="15"/>
      <c r="AC4" s="15"/>
    </row>
    <row r="5" spans="1:29" x14ac:dyDescent="0.25">
      <c r="A5" s="27">
        <f t="shared" ref="A5:A22" si="1">A4+$A$3</f>
        <v>0.30000000000000004</v>
      </c>
      <c r="B5" s="27">
        <f t="shared" si="0"/>
        <v>0.61909394930983375</v>
      </c>
      <c r="C5" s="29">
        <v>4.0625</v>
      </c>
      <c r="U5" s="15"/>
      <c r="V5" s="15"/>
      <c r="W5" s="15"/>
      <c r="X5" s="15"/>
      <c r="Y5" s="15"/>
      <c r="Z5" s="15"/>
      <c r="AA5" s="15"/>
      <c r="AB5" s="15"/>
      <c r="AC5" s="15"/>
    </row>
    <row r="6" spans="1:29" x14ac:dyDescent="0.25">
      <c r="A6" s="27">
        <f t="shared" si="1"/>
        <v>0.4</v>
      </c>
      <c r="B6" s="27">
        <f t="shared" si="0"/>
        <v>3.9259815759068471E-2</v>
      </c>
      <c r="C6" s="29">
        <v>4.0625</v>
      </c>
      <c r="U6" s="15"/>
      <c r="V6" s="15"/>
      <c r="W6" s="15"/>
      <c r="X6" s="15"/>
      <c r="Y6" s="15"/>
      <c r="Z6" s="15"/>
      <c r="AA6" s="15"/>
      <c r="AB6" s="15"/>
      <c r="AC6" s="15"/>
    </row>
    <row r="7" spans="1:29" x14ac:dyDescent="0.25">
      <c r="A7" s="27">
        <f t="shared" si="1"/>
        <v>0.5</v>
      </c>
      <c r="B7" s="27">
        <f t="shared" si="0"/>
        <v>-0.55557023301960218</v>
      </c>
      <c r="C7" s="29">
        <v>4.0625</v>
      </c>
      <c r="U7" s="15"/>
      <c r="V7" s="15"/>
      <c r="W7" s="15"/>
      <c r="X7" s="15"/>
      <c r="Y7" s="15"/>
      <c r="Z7" s="15"/>
      <c r="AA7" s="15"/>
      <c r="AB7" s="15"/>
      <c r="AC7" s="15"/>
    </row>
    <row r="8" spans="1:29" x14ac:dyDescent="0.25">
      <c r="A8" s="27">
        <f t="shared" si="1"/>
        <v>0.6</v>
      </c>
      <c r="B8" s="27">
        <f t="shared" si="0"/>
        <v>-0.93819133592248405</v>
      </c>
      <c r="C8" s="29">
        <v>4.0625</v>
      </c>
      <c r="U8" s="15"/>
      <c r="V8" s="15"/>
      <c r="W8" s="15"/>
      <c r="X8" s="15"/>
      <c r="Y8" s="15"/>
      <c r="Z8" s="15"/>
      <c r="AA8" s="15"/>
      <c r="AB8" s="15"/>
      <c r="AC8" s="15"/>
    </row>
    <row r="9" spans="1:29" x14ac:dyDescent="0.25">
      <c r="A9" s="27">
        <f t="shared" si="1"/>
        <v>0.7</v>
      </c>
      <c r="B9" s="27">
        <f t="shared" si="0"/>
        <v>-0.96245523645364739</v>
      </c>
      <c r="C9" s="29">
        <v>4.0625</v>
      </c>
      <c r="U9" s="15"/>
      <c r="V9" s="15"/>
      <c r="W9" s="15"/>
      <c r="X9" s="15"/>
      <c r="Y9" s="15"/>
      <c r="Z9" s="15"/>
      <c r="AA9" s="15"/>
      <c r="AB9" s="15"/>
      <c r="AC9" s="15"/>
    </row>
    <row r="10" spans="1:29" x14ac:dyDescent="0.25">
      <c r="A10" s="27">
        <f t="shared" si="1"/>
        <v>0.79999999999999993</v>
      </c>
      <c r="B10" s="27">
        <f t="shared" si="0"/>
        <v>-0.61909394930983419</v>
      </c>
      <c r="C10" s="29">
        <v>4.0625</v>
      </c>
      <c r="U10" s="15"/>
      <c r="V10" s="15"/>
      <c r="W10" s="15"/>
      <c r="X10" s="15"/>
      <c r="Y10" s="15"/>
      <c r="Z10" s="15"/>
      <c r="AA10" s="15"/>
      <c r="AB10" s="15"/>
      <c r="AC10" s="15"/>
    </row>
    <row r="11" spans="1:29" x14ac:dyDescent="0.25">
      <c r="A11" s="27">
        <f t="shared" si="1"/>
        <v>0.89999999999999991</v>
      </c>
      <c r="B11" s="27">
        <f t="shared" si="0"/>
        <v>-3.9259815759069394E-2</v>
      </c>
      <c r="C11" s="29">
        <v>4.0625</v>
      </c>
      <c r="U11" s="15"/>
      <c r="V11" s="15"/>
      <c r="W11" s="15"/>
      <c r="X11" s="15"/>
      <c r="Y11" s="15"/>
      <c r="Z11" s="15"/>
      <c r="AA11" s="15"/>
      <c r="AB11" s="15"/>
      <c r="AC11" s="15"/>
    </row>
    <row r="12" spans="1:29" x14ac:dyDescent="0.25">
      <c r="A12" s="27">
        <f t="shared" si="1"/>
        <v>0.99999999999999989</v>
      </c>
      <c r="B12" s="27">
        <f t="shared" si="0"/>
        <v>0.55557023301960151</v>
      </c>
      <c r="C12" s="29">
        <v>4.0625</v>
      </c>
      <c r="U12" s="15"/>
      <c r="V12" s="15"/>
      <c r="W12" s="15"/>
      <c r="X12" s="15"/>
      <c r="Y12" s="15"/>
      <c r="Z12" s="15"/>
      <c r="AA12" s="15"/>
      <c r="AB12" s="15"/>
      <c r="AC12" s="15"/>
    </row>
    <row r="13" spans="1:29" x14ac:dyDescent="0.25">
      <c r="A13" s="27">
        <f t="shared" si="1"/>
        <v>1.0999999999999999</v>
      </c>
      <c r="B13" s="27">
        <f t="shared" ref="B13:B22" si="2">SIN(2*PI()*($W$2*C13-A13/$W$3))</f>
        <v>0.93819133592248372</v>
      </c>
      <c r="C13" s="29">
        <v>4.0625</v>
      </c>
      <c r="U13" s="15"/>
      <c r="V13" s="15"/>
      <c r="W13" s="15"/>
      <c r="X13" s="15"/>
      <c r="Y13" s="15"/>
      <c r="Z13" s="15"/>
      <c r="AA13" s="15"/>
      <c r="AB13" s="15"/>
      <c r="AC13" s="15"/>
    </row>
    <row r="14" spans="1:29" x14ac:dyDescent="0.25">
      <c r="A14" s="27">
        <f t="shared" si="1"/>
        <v>1.2</v>
      </c>
      <c r="B14" s="27">
        <f t="shared" si="2"/>
        <v>0.96245523645364739</v>
      </c>
      <c r="C14" s="29">
        <v>4.0625</v>
      </c>
      <c r="U14" s="15"/>
      <c r="V14" s="15"/>
      <c r="W14" s="15"/>
      <c r="X14" s="15"/>
      <c r="Y14" s="15"/>
      <c r="Z14" s="15"/>
      <c r="AA14" s="15"/>
      <c r="AB14" s="15"/>
      <c r="AC14" s="15"/>
    </row>
    <row r="15" spans="1:29" x14ac:dyDescent="0.25">
      <c r="A15" s="27">
        <f t="shared" si="1"/>
        <v>1.3</v>
      </c>
      <c r="B15" s="27">
        <f t="shared" si="2"/>
        <v>0.61909394930983364</v>
      </c>
      <c r="C15" s="29">
        <v>4.0625</v>
      </c>
      <c r="U15" s="15"/>
      <c r="V15" s="15"/>
      <c r="W15" s="15"/>
      <c r="X15" s="15"/>
      <c r="Y15" s="15"/>
      <c r="Z15" s="15"/>
      <c r="AA15" s="15"/>
      <c r="AB15" s="15"/>
      <c r="AC15" s="15"/>
    </row>
    <row r="16" spans="1:29" x14ac:dyDescent="0.25">
      <c r="A16" s="27">
        <f t="shared" si="1"/>
        <v>1.4000000000000001</v>
      </c>
      <c r="B16" s="27">
        <f t="shared" si="2"/>
        <v>3.9259815759068187E-2</v>
      </c>
      <c r="C16" s="29">
        <v>4.0625</v>
      </c>
      <c r="U16" s="15"/>
      <c r="V16" s="15"/>
      <c r="W16" s="15"/>
      <c r="X16" s="15"/>
      <c r="Y16" s="15"/>
      <c r="Z16" s="15"/>
      <c r="AA16" s="15"/>
      <c r="AB16" s="15"/>
      <c r="AC16" s="15"/>
    </row>
    <row r="17" spans="1:29" x14ac:dyDescent="0.25">
      <c r="A17" s="27">
        <f t="shared" si="1"/>
        <v>1.5000000000000002</v>
      </c>
      <c r="B17" s="27">
        <f t="shared" si="2"/>
        <v>-0.55557023301960329</v>
      </c>
      <c r="C17" s="29">
        <v>4.0625</v>
      </c>
      <c r="U17" s="15"/>
      <c r="V17" s="15"/>
      <c r="W17" s="15"/>
      <c r="X17" s="15"/>
      <c r="Y17" s="15"/>
      <c r="Z17" s="15"/>
      <c r="AA17" s="15"/>
      <c r="AB17" s="15"/>
      <c r="AC17" s="15"/>
    </row>
    <row r="18" spans="1:29" x14ac:dyDescent="0.25">
      <c r="A18" s="27">
        <f t="shared" si="1"/>
        <v>1.6000000000000003</v>
      </c>
      <c r="B18" s="27">
        <f t="shared" si="2"/>
        <v>-0.9381913359224846</v>
      </c>
      <c r="C18" s="29">
        <v>4.0625</v>
      </c>
      <c r="U18" s="15"/>
      <c r="V18" s="15"/>
      <c r="W18" s="15"/>
      <c r="X18" s="15"/>
      <c r="Y18" s="15"/>
      <c r="Z18" s="15"/>
      <c r="AA18" s="15"/>
      <c r="AB18" s="15"/>
      <c r="AC18" s="15"/>
    </row>
    <row r="19" spans="1:29" x14ac:dyDescent="0.25">
      <c r="A19" s="27">
        <f t="shared" si="1"/>
        <v>1.7000000000000004</v>
      </c>
      <c r="B19" s="27">
        <f t="shared" si="2"/>
        <v>-0.9624552364536465</v>
      </c>
      <c r="C19" s="29">
        <v>4.0625</v>
      </c>
      <c r="U19" s="15"/>
      <c r="V19" s="15"/>
      <c r="W19" s="15"/>
      <c r="X19" s="15"/>
      <c r="Y19" s="15"/>
      <c r="Z19" s="15"/>
      <c r="AA19" s="15"/>
      <c r="AB19" s="15"/>
      <c r="AC19" s="15"/>
    </row>
    <row r="20" spans="1:29" x14ac:dyDescent="0.25">
      <c r="A20" s="27">
        <f t="shared" si="1"/>
        <v>1.8000000000000005</v>
      </c>
      <c r="B20" s="27">
        <f t="shared" si="2"/>
        <v>-0.61909394930983164</v>
      </c>
      <c r="C20" s="29">
        <v>4.0625</v>
      </c>
      <c r="U20" s="15"/>
      <c r="V20" s="15"/>
      <c r="W20" s="15"/>
      <c r="X20" s="15"/>
      <c r="Y20" s="15"/>
      <c r="Z20" s="15"/>
      <c r="AA20" s="15"/>
      <c r="AB20" s="15"/>
      <c r="AC20" s="15"/>
    </row>
    <row r="21" spans="1:29" x14ac:dyDescent="0.25">
      <c r="A21" s="27">
        <f t="shared" si="1"/>
        <v>1.9000000000000006</v>
      </c>
      <c r="B21" s="27">
        <f t="shared" si="2"/>
        <v>-3.9259815759065647E-2</v>
      </c>
      <c r="C21" s="29">
        <v>4.0625</v>
      </c>
      <c r="U21" s="15"/>
      <c r="V21" s="15"/>
      <c r="W21" s="15"/>
      <c r="X21" s="15"/>
      <c r="Y21" s="15"/>
      <c r="Z21" s="15"/>
      <c r="AA21" s="15"/>
      <c r="AB21" s="15"/>
      <c r="AC21" s="15"/>
    </row>
    <row r="22" spans="1:29" x14ac:dyDescent="0.25">
      <c r="A22" s="27">
        <f t="shared" si="1"/>
        <v>2.0000000000000004</v>
      </c>
      <c r="B22" s="27">
        <f t="shared" si="2"/>
        <v>0.55557023301960462</v>
      </c>
      <c r="C22" s="29">
        <v>4.0625</v>
      </c>
      <c r="U22" s="15"/>
      <c r="V22" s="15"/>
      <c r="W22" s="15"/>
      <c r="X22" s="15"/>
      <c r="Y22" s="15"/>
      <c r="Z22" s="15"/>
      <c r="AA22" s="15"/>
      <c r="AB22" s="15"/>
      <c r="AC22" s="15"/>
    </row>
    <row r="23" spans="1:29" x14ac:dyDescent="0.25">
      <c r="A23" s="30"/>
      <c r="B23" s="30"/>
      <c r="C23" s="30"/>
      <c r="U23" s="15"/>
      <c r="V23" s="15"/>
      <c r="W23" s="15"/>
      <c r="X23" s="15"/>
      <c r="Y23" s="15"/>
      <c r="Z23" s="15"/>
      <c r="AA23" s="15"/>
      <c r="AB23" s="15"/>
      <c r="AC23" s="15"/>
    </row>
    <row r="24" spans="1:29" x14ac:dyDescent="0.25">
      <c r="A24" s="30"/>
      <c r="B24" s="30"/>
      <c r="C24" s="7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x14ac:dyDescent="0.25">
      <c r="A25" s="1"/>
      <c r="B25" s="1"/>
      <c r="C25" s="1"/>
      <c r="U25" s="15"/>
      <c r="V25" s="15"/>
      <c r="W25" s="15"/>
      <c r="X25" s="15"/>
      <c r="Y25" s="15"/>
      <c r="Z25" s="15"/>
      <c r="AA25" s="15"/>
      <c r="AB25" s="15"/>
      <c r="AC25" s="15"/>
    </row>
    <row r="26" spans="1:29" x14ac:dyDescent="0.25">
      <c r="A26" s="1"/>
      <c r="B26" s="1"/>
      <c r="C26" s="1"/>
      <c r="U26" s="15"/>
      <c r="V26" s="15"/>
      <c r="W26" s="15"/>
      <c r="X26" s="15"/>
      <c r="Y26" s="15"/>
      <c r="Z26" s="15"/>
      <c r="AA26" s="15"/>
      <c r="AB26" s="15"/>
      <c r="AC26" s="15"/>
    </row>
    <row r="27" spans="1:29" x14ac:dyDescent="0.25">
      <c r="A27" s="1"/>
      <c r="B27" s="1"/>
      <c r="C27" s="1"/>
      <c r="U27" s="15"/>
      <c r="V27" s="15"/>
      <c r="W27" s="15"/>
      <c r="X27" s="15"/>
      <c r="Y27" s="15"/>
      <c r="Z27" s="15"/>
      <c r="AA27" s="15"/>
      <c r="AB27" s="15"/>
      <c r="AC27" s="15"/>
    </row>
    <row r="28" spans="1:29" x14ac:dyDescent="0.25">
      <c r="A28" s="1"/>
      <c r="B28" s="1"/>
      <c r="C28" s="1"/>
      <c r="U28" s="15"/>
      <c r="V28" s="15"/>
      <c r="W28" s="15"/>
      <c r="X28" s="15"/>
      <c r="Y28" s="15"/>
      <c r="Z28" s="15"/>
      <c r="AA28" s="15"/>
      <c r="AB28" s="15"/>
      <c r="AC28" s="15"/>
    </row>
    <row r="29" spans="1:29" x14ac:dyDescent="0.25">
      <c r="A29" s="1"/>
      <c r="B29" s="1"/>
      <c r="C29" s="1"/>
      <c r="U29" s="15"/>
      <c r="V29" s="15"/>
      <c r="W29" s="15"/>
      <c r="X29" s="15"/>
      <c r="Y29" s="15"/>
      <c r="Z29" s="15"/>
      <c r="AA29" s="15"/>
      <c r="AB29" s="15"/>
      <c r="AC29" s="15"/>
    </row>
    <row r="30" spans="1:29" x14ac:dyDescent="0.25">
      <c r="A30" s="1"/>
      <c r="B30" s="1"/>
      <c r="C30" s="1"/>
      <c r="U30" s="15"/>
      <c r="V30" s="15"/>
      <c r="W30" s="15"/>
      <c r="X30" s="15"/>
      <c r="Y30" s="15"/>
      <c r="Z30" s="15"/>
      <c r="AA30" s="15"/>
      <c r="AB30" s="15"/>
      <c r="AC30" s="15"/>
    </row>
    <row r="31" spans="1:29" x14ac:dyDescent="0.25">
      <c r="A31" s="1"/>
      <c r="B31" s="1"/>
      <c r="C31" s="1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 x14ac:dyDescent="0.25">
      <c r="A32" s="1"/>
      <c r="B32" s="1"/>
      <c r="C32" s="1"/>
      <c r="U32" s="15"/>
      <c r="V32" s="15"/>
      <c r="W32" s="15"/>
      <c r="X32" s="15"/>
      <c r="Y32" s="15"/>
      <c r="Z32" s="15"/>
      <c r="AA32" s="15"/>
      <c r="AB32" s="15"/>
      <c r="AC32" s="15"/>
    </row>
    <row r="33" spans="1:29" x14ac:dyDescent="0.25">
      <c r="A33" s="1"/>
      <c r="B33" s="1"/>
      <c r="C33" s="1"/>
      <c r="U33" s="15"/>
      <c r="V33" s="15"/>
      <c r="W33" s="15"/>
      <c r="X33" s="15"/>
      <c r="Y33" s="15"/>
      <c r="Z33" s="15"/>
      <c r="AA33" s="15"/>
      <c r="AB33" s="15"/>
      <c r="AC33" s="15"/>
    </row>
    <row r="34" spans="1:29" x14ac:dyDescent="0.25">
      <c r="A34" s="1"/>
      <c r="B34" s="1"/>
      <c r="C34" s="1"/>
      <c r="U34" s="15"/>
      <c r="V34" s="15"/>
      <c r="W34" s="15"/>
      <c r="X34" s="15"/>
      <c r="Y34" s="15"/>
      <c r="Z34" s="15"/>
      <c r="AA34" s="15"/>
      <c r="AB34" s="15"/>
      <c r="AC34" s="15"/>
    </row>
    <row r="35" spans="1:29" x14ac:dyDescent="0.25">
      <c r="A35" s="1"/>
      <c r="B35" s="1"/>
      <c r="C35" s="1"/>
    </row>
    <row r="36" spans="1:29" x14ac:dyDescent="0.25">
      <c r="A36" s="1"/>
      <c r="B36" s="1"/>
      <c r="C36" s="1"/>
    </row>
    <row r="37" spans="1:29" x14ac:dyDescent="0.25">
      <c r="A37" s="1"/>
      <c r="B37" s="1"/>
      <c r="C37" s="1"/>
    </row>
    <row r="38" spans="1:29" x14ac:dyDescent="0.25">
      <c r="A38" s="1"/>
      <c r="B38" s="1"/>
      <c r="C38" s="1"/>
    </row>
    <row r="39" spans="1:29" x14ac:dyDescent="0.25">
      <c r="A39" s="1"/>
      <c r="B39" s="1"/>
      <c r="C39" s="1"/>
    </row>
    <row r="40" spans="1:29" x14ac:dyDescent="0.25">
      <c r="A40" s="1"/>
      <c r="B40" s="1"/>
      <c r="C40" s="1"/>
    </row>
    <row r="41" spans="1:29" x14ac:dyDescent="0.25">
      <c r="A41" s="1"/>
      <c r="B41" s="1"/>
      <c r="C41" s="1"/>
    </row>
    <row r="42" spans="1:29" x14ac:dyDescent="0.25">
      <c r="A42" s="1"/>
      <c r="B42" s="1"/>
      <c r="C42" s="1"/>
    </row>
    <row r="43" spans="1:29" x14ac:dyDescent="0.25">
      <c r="A43" s="1"/>
      <c r="B43" s="1"/>
      <c r="C43" s="1"/>
    </row>
    <row r="44" spans="1:29" x14ac:dyDescent="0.25">
      <c r="A44" s="1"/>
      <c r="B44" s="1"/>
      <c r="C44" s="1"/>
    </row>
    <row r="45" spans="1:29" x14ac:dyDescent="0.25">
      <c r="A45" s="1"/>
      <c r="B45" s="1"/>
      <c r="C45" s="1"/>
    </row>
    <row r="46" spans="1:29" x14ac:dyDescent="0.25">
      <c r="A46" s="1"/>
      <c r="B46" s="1"/>
      <c r="C46" s="1"/>
    </row>
    <row r="47" spans="1:29" x14ac:dyDescent="0.25">
      <c r="A47" s="1"/>
      <c r="B47" s="1"/>
      <c r="C47" s="1"/>
    </row>
    <row r="48" spans="1:29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3">
    <mergeCell ref="A23:C23"/>
    <mergeCell ref="A24:B24"/>
    <mergeCell ref="V1:W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X3" sqref="X3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8" t="s">
        <v>1</v>
      </c>
      <c r="B1" s="28" t="s">
        <v>2</v>
      </c>
      <c r="C1" s="28" t="s">
        <v>1</v>
      </c>
      <c r="D1" s="28" t="s">
        <v>2</v>
      </c>
      <c r="E1" s="28" t="s">
        <v>3</v>
      </c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33" t="s">
        <v>10</v>
      </c>
      <c r="W1" s="34"/>
      <c r="X1" s="35" t="s">
        <v>11</v>
      </c>
      <c r="Y1" s="36"/>
      <c r="Z1" s="15"/>
      <c r="AA1" s="15"/>
      <c r="AB1" s="15"/>
      <c r="AC1" s="15"/>
    </row>
    <row r="2" spans="1:29" ht="23.25" x14ac:dyDescent="0.25">
      <c r="A2" s="27">
        <v>0</v>
      </c>
      <c r="B2" s="27">
        <f>SIN(2*PI()*($W$2*E2-A2/$W$3))</f>
        <v>5.3969889209501277E-2</v>
      </c>
      <c r="C2" s="27">
        <v>0</v>
      </c>
      <c r="D2" s="27">
        <f>SIN(2*PI()*($Y$2*E2-C2/$Y$3))</f>
        <v>0.36903718106406086</v>
      </c>
      <c r="E2" s="29">
        <v>10.0859375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8" t="s">
        <v>5</v>
      </c>
      <c r="W2" s="19">
        <v>0.1</v>
      </c>
      <c r="X2" s="22" t="s">
        <v>5</v>
      </c>
      <c r="Y2" s="23">
        <v>0.7</v>
      </c>
      <c r="Z2" s="15"/>
      <c r="AA2" s="15"/>
      <c r="AB2" s="15"/>
      <c r="AC2" s="15"/>
    </row>
    <row r="3" spans="1:29" ht="23.25" x14ac:dyDescent="0.25">
      <c r="A3" s="27">
        <f>$W$3/10</f>
        <v>0.1</v>
      </c>
      <c r="B3" s="27">
        <f t="shared" ref="B3:B22" si="0">SIN(2*PI()*($W$2*E3-A3/$W$3))</f>
        <v>-0.54326603503822402</v>
      </c>
      <c r="C3" s="27">
        <f>$Y$3/10</f>
        <v>0.15</v>
      </c>
      <c r="D3" s="27">
        <f t="shared" ref="D3:D22" si="1">SIN(2*PI()*($Y$2*E3-C3/$Y$3))</f>
        <v>-0.24773886317560082</v>
      </c>
      <c r="E3" s="29">
        <v>10.0859375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20" t="s">
        <v>6</v>
      </c>
      <c r="W3" s="21">
        <v>1</v>
      </c>
      <c r="X3" s="24" t="s">
        <v>6</v>
      </c>
      <c r="Y3" s="25">
        <v>1.5</v>
      </c>
      <c r="Z3" s="15"/>
      <c r="AA3" s="15"/>
      <c r="AB3" s="15"/>
      <c r="AC3" s="15"/>
    </row>
    <row r="4" spans="1:29" ht="23.25" x14ac:dyDescent="0.25">
      <c r="A4" s="27">
        <f>A3+$A$3</f>
        <v>0.2</v>
      </c>
      <c r="B4" s="27">
        <f t="shared" si="0"/>
        <v>-0.93299279883473907</v>
      </c>
      <c r="C4" s="27">
        <f>C3+$C$3</f>
        <v>0.3</v>
      </c>
      <c r="D4" s="27">
        <f t="shared" si="1"/>
        <v>-0.76988708201644829</v>
      </c>
      <c r="E4" s="29">
        <v>10.0859375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26" t="s">
        <v>12</v>
      </c>
      <c r="W4" s="37">
        <v>10</v>
      </c>
      <c r="X4" s="38"/>
      <c r="Y4" s="39"/>
      <c r="Z4" s="15"/>
      <c r="AA4" s="15"/>
      <c r="AB4" s="15"/>
      <c r="AC4" s="15"/>
    </row>
    <row r="5" spans="1:29" x14ac:dyDescent="0.25">
      <c r="A5" s="27">
        <f t="shared" ref="A5:A22" si="2">A4+$A$3</f>
        <v>0.30000000000000004</v>
      </c>
      <c r="B5" s="27">
        <f t="shared" si="0"/>
        <v>-0.96634802473527714</v>
      </c>
      <c r="C5" s="27">
        <f t="shared" ref="C5:C22" si="3">C4+$C$3</f>
        <v>0.44999999999999996</v>
      </c>
      <c r="D5" s="27">
        <f t="shared" si="1"/>
        <v>-0.99796460302648682</v>
      </c>
      <c r="E5" s="29">
        <v>10.0859375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</row>
    <row r="6" spans="1:29" x14ac:dyDescent="0.25">
      <c r="A6" s="27">
        <f t="shared" si="2"/>
        <v>0.4</v>
      </c>
      <c r="B6" s="27">
        <f t="shared" si="0"/>
        <v>-0.63059115014826339</v>
      </c>
      <c r="C6" s="27">
        <f t="shared" si="3"/>
        <v>0.6</v>
      </c>
      <c r="D6" s="27">
        <f t="shared" si="1"/>
        <v>-0.8448535652497039</v>
      </c>
      <c r="E6" s="29">
        <v>10.0859375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</row>
    <row r="7" spans="1:29" x14ac:dyDescent="0.25">
      <c r="A7" s="27">
        <f t="shared" si="2"/>
        <v>0.5</v>
      </c>
      <c r="B7" s="27">
        <f t="shared" si="0"/>
        <v>-5.3969889209501402E-2</v>
      </c>
      <c r="C7" s="27">
        <f t="shared" si="3"/>
        <v>0.75</v>
      </c>
      <c r="D7" s="27">
        <f t="shared" si="1"/>
        <v>-0.3690371810640643</v>
      </c>
      <c r="E7" s="29">
        <v>10.0859375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</row>
    <row r="8" spans="1:29" x14ac:dyDescent="0.25">
      <c r="A8" s="27">
        <f t="shared" si="2"/>
        <v>0.6</v>
      </c>
      <c r="B8" s="27">
        <f t="shared" si="0"/>
        <v>0.5432660350382239</v>
      </c>
      <c r="C8" s="27">
        <f t="shared" si="3"/>
        <v>0.9</v>
      </c>
      <c r="D8" s="27">
        <f t="shared" si="1"/>
        <v>0.24773886317560415</v>
      </c>
      <c r="E8" s="29">
        <v>10.0859375</v>
      </c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</row>
    <row r="9" spans="1:29" x14ac:dyDescent="0.25">
      <c r="A9" s="27">
        <f t="shared" si="2"/>
        <v>0.7</v>
      </c>
      <c r="B9" s="27">
        <f t="shared" si="0"/>
        <v>0.93299279883473885</v>
      </c>
      <c r="C9" s="27">
        <f t="shared" si="3"/>
        <v>1.05</v>
      </c>
      <c r="D9" s="27">
        <f t="shared" si="1"/>
        <v>0.76988708201645051</v>
      </c>
      <c r="E9" s="29">
        <v>10.0859375</v>
      </c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</row>
    <row r="10" spans="1:29" x14ac:dyDescent="0.25">
      <c r="A10" s="27">
        <f t="shared" si="2"/>
        <v>0.79999999999999993</v>
      </c>
      <c r="B10" s="27">
        <f t="shared" si="0"/>
        <v>0.96634802473527726</v>
      </c>
      <c r="C10" s="27">
        <f t="shared" si="3"/>
        <v>1.2</v>
      </c>
      <c r="D10" s="27">
        <f t="shared" si="1"/>
        <v>0.99796460302648704</v>
      </c>
      <c r="E10" s="29">
        <v>10.0859375</v>
      </c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</row>
    <row r="11" spans="1:29" x14ac:dyDescent="0.25">
      <c r="A11" s="27">
        <f t="shared" si="2"/>
        <v>0.89999999999999991</v>
      </c>
      <c r="B11" s="27">
        <f t="shared" si="0"/>
        <v>0.63059115014826406</v>
      </c>
      <c r="C11" s="27">
        <f t="shared" si="3"/>
        <v>1.3499999999999999</v>
      </c>
      <c r="D11" s="27">
        <f t="shared" si="1"/>
        <v>0.8448535652497059</v>
      </c>
      <c r="E11" s="29">
        <v>10.0859375</v>
      </c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</row>
    <row r="12" spans="1:29" x14ac:dyDescent="0.25">
      <c r="A12" s="27">
        <f t="shared" si="2"/>
        <v>0.99999999999999989</v>
      </c>
      <c r="B12" s="27">
        <f t="shared" si="0"/>
        <v>5.3969889209502298E-2</v>
      </c>
      <c r="C12" s="27">
        <f t="shared" si="3"/>
        <v>1.4999999999999998</v>
      </c>
      <c r="D12" s="27">
        <f t="shared" si="1"/>
        <v>0.36903718106406108</v>
      </c>
      <c r="E12" s="29">
        <v>10.0859375</v>
      </c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</row>
    <row r="13" spans="1:29" x14ac:dyDescent="0.25">
      <c r="A13" s="27">
        <f t="shared" si="2"/>
        <v>1.0999999999999999</v>
      </c>
      <c r="B13" s="27">
        <f t="shared" si="0"/>
        <v>-0.54326603503822313</v>
      </c>
      <c r="C13" s="27">
        <f t="shared" si="3"/>
        <v>1.6499999999999997</v>
      </c>
      <c r="D13" s="27">
        <f t="shared" si="1"/>
        <v>-0.24773886317560057</v>
      </c>
      <c r="E13" s="29">
        <v>10.0859375</v>
      </c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</row>
    <row r="14" spans="1:29" x14ac:dyDescent="0.25">
      <c r="A14" s="27">
        <f t="shared" si="2"/>
        <v>1.2</v>
      </c>
      <c r="B14" s="27">
        <f t="shared" si="0"/>
        <v>-0.93299279883473885</v>
      </c>
      <c r="C14" s="27">
        <f t="shared" si="3"/>
        <v>1.7999999999999996</v>
      </c>
      <c r="D14" s="27">
        <f t="shared" si="1"/>
        <v>-0.76988708201644807</v>
      </c>
      <c r="E14" s="29">
        <v>10.0859375</v>
      </c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</row>
    <row r="15" spans="1:29" x14ac:dyDescent="0.25">
      <c r="A15" s="27">
        <f t="shared" si="2"/>
        <v>1.3</v>
      </c>
      <c r="B15" s="27">
        <f t="shared" si="0"/>
        <v>-0.96634802473527714</v>
      </c>
      <c r="C15" s="27">
        <f t="shared" si="3"/>
        <v>1.9499999999999995</v>
      </c>
      <c r="D15" s="27">
        <f t="shared" si="1"/>
        <v>-0.99796460302648671</v>
      </c>
      <c r="E15" s="29">
        <v>10.0859375</v>
      </c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1:29" x14ac:dyDescent="0.25">
      <c r="A16" s="27">
        <f t="shared" si="2"/>
        <v>1.4000000000000001</v>
      </c>
      <c r="B16" s="27">
        <f t="shared" si="0"/>
        <v>-0.63059115014826295</v>
      </c>
      <c r="C16" s="27">
        <f t="shared" si="3"/>
        <v>2.0999999999999996</v>
      </c>
      <c r="D16" s="27">
        <f t="shared" si="1"/>
        <v>-0.84485356524970778</v>
      </c>
      <c r="E16" s="29">
        <v>10.0859375</v>
      </c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</row>
    <row r="17" spans="1:29" x14ac:dyDescent="0.25">
      <c r="A17" s="27">
        <f t="shared" si="2"/>
        <v>1.5000000000000002</v>
      </c>
      <c r="B17" s="27">
        <f t="shared" si="0"/>
        <v>-5.3969889209500313E-2</v>
      </c>
      <c r="C17" s="27">
        <f t="shared" si="3"/>
        <v>2.2499999999999996</v>
      </c>
      <c r="D17" s="27">
        <f t="shared" si="1"/>
        <v>-0.36903718106406452</v>
      </c>
      <c r="E17" s="29">
        <v>10.0859375</v>
      </c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</row>
    <row r="18" spans="1:29" x14ac:dyDescent="0.25">
      <c r="A18" s="27">
        <f t="shared" si="2"/>
        <v>1.6000000000000003</v>
      </c>
      <c r="B18" s="27">
        <f t="shared" si="0"/>
        <v>0.54326603503822524</v>
      </c>
      <c r="C18" s="27">
        <f t="shared" si="3"/>
        <v>2.3999999999999995</v>
      </c>
      <c r="D18" s="27">
        <f t="shared" si="1"/>
        <v>0.2477388631756039</v>
      </c>
      <c r="E18" s="29">
        <v>10.0859375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</row>
    <row r="19" spans="1:29" x14ac:dyDescent="0.25">
      <c r="A19" s="27">
        <f t="shared" si="2"/>
        <v>1.7000000000000004</v>
      </c>
      <c r="B19" s="27">
        <f t="shared" si="0"/>
        <v>0.93299279883473996</v>
      </c>
      <c r="C19" s="27">
        <f t="shared" si="3"/>
        <v>2.5499999999999994</v>
      </c>
      <c r="D19" s="27">
        <f t="shared" si="1"/>
        <v>0.76988708201644573</v>
      </c>
      <c r="E19" s="29">
        <v>10.0859375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</row>
    <row r="20" spans="1:29" x14ac:dyDescent="0.25">
      <c r="A20" s="27">
        <f t="shared" si="2"/>
        <v>1.8000000000000005</v>
      </c>
      <c r="B20" s="27">
        <f t="shared" si="0"/>
        <v>0.96634802473527648</v>
      </c>
      <c r="C20" s="27">
        <f t="shared" si="3"/>
        <v>2.6999999999999993</v>
      </c>
      <c r="D20" s="27">
        <f t="shared" si="1"/>
        <v>0.99796460302648693</v>
      </c>
      <c r="E20" s="29">
        <v>10.0859375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</row>
    <row r="21" spans="1:29" x14ac:dyDescent="0.25">
      <c r="A21" s="27">
        <f t="shared" si="2"/>
        <v>1.9000000000000006</v>
      </c>
      <c r="B21" s="27">
        <f t="shared" si="0"/>
        <v>0.63059115014826095</v>
      </c>
      <c r="C21" s="27">
        <f t="shared" si="3"/>
        <v>2.8499999999999992</v>
      </c>
      <c r="D21" s="27">
        <f t="shared" si="1"/>
        <v>0.84485356524970601</v>
      </c>
      <c r="E21" s="29">
        <v>10.0859375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</row>
    <row r="22" spans="1:29" x14ac:dyDescent="0.25">
      <c r="A22" s="27">
        <f t="shared" si="2"/>
        <v>2.0000000000000004</v>
      </c>
      <c r="B22" s="27">
        <f t="shared" si="0"/>
        <v>5.3969889209499106E-2</v>
      </c>
      <c r="C22" s="27">
        <f t="shared" si="3"/>
        <v>2.9999999999999991</v>
      </c>
      <c r="D22" s="27">
        <f t="shared" si="1"/>
        <v>0.36903718106406791</v>
      </c>
      <c r="E22" s="29">
        <v>10.0859375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</row>
    <row r="23" spans="1:29" x14ac:dyDescent="0.25">
      <c r="A23" s="30"/>
      <c r="B23" s="30"/>
      <c r="C23" s="30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</row>
    <row r="24" spans="1:29" x14ac:dyDescent="0.25">
      <c r="A24" s="30"/>
      <c r="B24" s="30"/>
      <c r="C24" s="7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x14ac:dyDescent="0.25">
      <c r="A25" s="1"/>
      <c r="B25" s="1"/>
      <c r="C25" s="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</row>
    <row r="26" spans="1:29" x14ac:dyDescent="0.25">
      <c r="A26" s="1"/>
      <c r="B26" s="1"/>
      <c r="C26" s="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</row>
    <row r="27" spans="1:29" x14ac:dyDescent="0.25">
      <c r="A27" s="1"/>
      <c r="B27" s="1"/>
      <c r="C27" s="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</row>
    <row r="28" spans="1:29" x14ac:dyDescent="0.25">
      <c r="A28" s="1"/>
      <c r="B28" s="1"/>
      <c r="C28" s="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</row>
    <row r="29" spans="1:29" x14ac:dyDescent="0.25">
      <c r="A29" s="1"/>
      <c r="B29" s="1"/>
      <c r="C29" s="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</row>
    <row r="30" spans="1:29" x14ac:dyDescent="0.25">
      <c r="A30" s="1"/>
      <c r="B30" s="1"/>
      <c r="C30" s="1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</row>
    <row r="31" spans="1:29" x14ac:dyDescent="0.25">
      <c r="A31" s="1"/>
      <c r="B31" s="1"/>
      <c r="C31" s="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 x14ac:dyDescent="0.25">
      <c r="A32" s="1"/>
      <c r="B32" s="1"/>
      <c r="C32" s="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</row>
    <row r="33" spans="1:29" x14ac:dyDescent="0.25">
      <c r="A33" s="1"/>
      <c r="B33" s="1"/>
      <c r="C33" s="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</row>
    <row r="34" spans="1:29" x14ac:dyDescent="0.25">
      <c r="A34" s="1"/>
      <c r="B34" s="1"/>
      <c r="C34" s="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</row>
    <row r="35" spans="1:29" x14ac:dyDescent="0.25">
      <c r="A35" s="1"/>
      <c r="B35" s="1"/>
      <c r="C35" s="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</row>
    <row r="36" spans="1:29" x14ac:dyDescent="0.25">
      <c r="A36" s="1"/>
      <c r="B36" s="1"/>
      <c r="C36" s="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</row>
    <row r="37" spans="1:29" x14ac:dyDescent="0.25">
      <c r="A37" s="1"/>
      <c r="B37" s="1"/>
      <c r="C37" s="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</row>
    <row r="38" spans="1:29" x14ac:dyDescent="0.25">
      <c r="A38" s="1"/>
      <c r="B38" s="1"/>
      <c r="C38" s="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</row>
    <row r="39" spans="1:29" x14ac:dyDescent="0.25">
      <c r="A39" s="1"/>
      <c r="B39" s="1"/>
      <c r="C39" s="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</row>
    <row r="40" spans="1:29" x14ac:dyDescent="0.25">
      <c r="A40" s="1"/>
      <c r="B40" s="1"/>
      <c r="C40" s="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</row>
    <row r="41" spans="1:29" x14ac:dyDescent="0.25">
      <c r="A41" s="1"/>
      <c r="B41" s="1"/>
      <c r="C41" s="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</row>
    <row r="42" spans="1:29" x14ac:dyDescent="0.25">
      <c r="A42" s="1"/>
      <c r="B42" s="1"/>
      <c r="C42" s="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</row>
    <row r="43" spans="1:29" x14ac:dyDescent="0.25">
      <c r="A43" s="1"/>
      <c r="B43" s="1"/>
      <c r="C43" s="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</row>
    <row r="44" spans="1:29" x14ac:dyDescent="0.25">
      <c r="A44" s="1"/>
      <c r="B44" s="1"/>
      <c r="C44" s="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</row>
    <row r="45" spans="1:29" x14ac:dyDescent="0.25">
      <c r="A45" s="1"/>
      <c r="B45" s="1"/>
      <c r="C45" s="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</row>
    <row r="46" spans="1:29" x14ac:dyDescent="0.25">
      <c r="A46" s="1"/>
      <c r="B46" s="1"/>
      <c r="C46" s="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</row>
    <row r="47" spans="1:29" x14ac:dyDescent="0.25">
      <c r="A47" s="1"/>
      <c r="B47" s="1"/>
      <c r="C47" s="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</row>
    <row r="48" spans="1:29" x14ac:dyDescent="0.25">
      <c r="A48" s="1"/>
      <c r="B48" s="1"/>
      <c r="C48" s="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</row>
    <row r="49" spans="1:27" x14ac:dyDescent="0.25">
      <c r="A49" s="1"/>
      <c r="B49" s="1"/>
      <c r="C49" s="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</row>
    <row r="50" spans="1:27" x14ac:dyDescent="0.25">
      <c r="A50" s="1"/>
      <c r="B50" s="1"/>
      <c r="C50" s="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V1:W1"/>
    <mergeCell ref="A23:C23"/>
    <mergeCell ref="A24:B24"/>
    <mergeCell ref="X1:Y1"/>
    <mergeCell ref="W4:Y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Consulta</vt:lpstr>
      <vt:lpstr>Sandbox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2024-10-14T19:29:27Z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