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OneDrive - Fundação Salvador Arena\projetos\PBL - 3S\"/>
    </mc:Choice>
  </mc:AlternateContent>
  <xr:revisionPtr revIDLastSave="0" documentId="13_ncr:1_{DDDACED9-30C1-49B3-A7A8-BCEB3346C61C}" xr6:coauthVersionLast="47" xr6:coauthVersionMax="47" xr10:uidLastSave="{00000000-0000-0000-0000-000000000000}"/>
  <bookViews>
    <workbookView xWindow="-120" yWindow="-120" windowWidth="29040" windowHeight="15840" activeTab="1" xr2:uid="{9B452E65-EE66-4AAC-81BA-5408C29E36FC}"/>
  </bookViews>
  <sheets>
    <sheet name="Sandbox" sheetId="1" r:id="rId1"/>
    <sheet name="Consul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B13" i="1" s="1"/>
  <c r="A3" i="2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A14" i="1" l="1"/>
  <c r="B3" i="2"/>
  <c r="A5" i="2"/>
  <c r="B5" i="2" s="1"/>
  <c r="B10" i="1"/>
  <c r="B5" i="1"/>
  <c r="B3" i="1"/>
  <c r="B11" i="1"/>
  <c r="B9" i="1"/>
  <c r="B8" i="1"/>
  <c r="B7" i="1"/>
  <c r="B6" i="1"/>
  <c r="B4" i="1"/>
  <c r="B12" i="1"/>
  <c r="B14" i="1" l="1"/>
  <c r="A15" i="1"/>
  <c r="A6" i="2"/>
  <c r="B6" i="2" s="1"/>
  <c r="B15" i="1" l="1"/>
  <c r="A16" i="1"/>
  <c r="A7" i="2"/>
  <c r="B7" i="2" s="1"/>
  <c r="B16" i="1" l="1"/>
  <c r="A17" i="1"/>
  <c r="A8" i="2"/>
  <c r="B8" i="2" s="1"/>
  <c r="B17" i="1" l="1"/>
  <c r="A18" i="1"/>
  <c r="A9" i="2"/>
  <c r="B9" i="2" s="1"/>
  <c r="A19" i="1" l="1"/>
  <c r="B18" i="1"/>
  <c r="A10" i="2"/>
  <c r="B10" i="2" s="1"/>
  <c r="B19" i="1" l="1"/>
  <c r="A20" i="1"/>
  <c r="A11" i="2"/>
  <c r="B11" i="2" s="1"/>
  <c r="A21" i="1" l="1"/>
  <c r="B20" i="1"/>
  <c r="A12" i="2"/>
  <c r="B12" i="2" l="1"/>
  <c r="A13" i="2"/>
  <c r="B21" i="1"/>
  <c r="A22" i="1"/>
  <c r="B22" i="1" s="1"/>
  <c r="B13" i="2" l="1"/>
  <c r="A14" i="2"/>
  <c r="B14" i="2" l="1"/>
  <c r="A15" i="2"/>
  <c r="B15" i="2" l="1"/>
  <c r="A16" i="2"/>
  <c r="B16" i="2" l="1"/>
  <c r="A17" i="2"/>
  <c r="A18" i="2" l="1"/>
  <c r="B17" i="2"/>
  <c r="A19" i="2" l="1"/>
  <c r="B18" i="2"/>
  <c r="B19" i="2" l="1"/>
  <c r="A20" i="2"/>
  <c r="B20" i="2" l="1"/>
  <c r="A21" i="2"/>
  <c r="B21" i="2" l="1"/>
  <c r="A22" i="2"/>
  <c r="B22" i="2" s="1"/>
</calcChain>
</file>

<file path=xl/sharedStrings.xml><?xml version="1.0" encoding="utf-8"?>
<sst xmlns="http://schemas.openxmlformats.org/spreadsheetml/2006/main" count="15" uniqueCount="10">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</sst>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1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4" borderId="1" xfId="0" applyNumberFormat="1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64" fontId="3" fillId="5" borderId="4" xfId="0" applyNumberFormat="1" applyFont="1" applyFill="1" applyBorder="1" applyAlignment="1">
      <alignment horizontal="center" vertical="center"/>
    </xf>
    <xf numFmtId="1" fontId="3" fillId="5" borderId="5" xfId="0" applyNumberFormat="1" applyFont="1" applyFill="1" applyBorder="1" applyAlignment="1">
      <alignment horizontal="center" vertical="center"/>
    </xf>
    <xf numFmtId="164" fontId="3" fillId="5" borderId="6" xfId="0" applyNumberFormat="1" applyFont="1" applyFill="1" applyBorder="1" applyAlignment="1">
      <alignment horizontal="center" vertical="center"/>
    </xf>
    <xf numFmtId="164" fontId="3" fillId="5" borderId="7" xfId="0" applyNumberFormat="1" applyFont="1" applyFill="1" applyBorder="1" applyAlignment="1">
      <alignment horizontal="center" vertical="center"/>
    </xf>
    <xf numFmtId="1" fontId="3" fillId="5" borderId="8" xfId="0" applyNumberFormat="1" applyFont="1" applyFill="1" applyBorder="1" applyAlignment="1">
      <alignment horizontal="center" vertical="center"/>
    </xf>
    <xf numFmtId="164" fontId="3" fillId="5" borderId="9" xfId="0" applyNumberFormat="1" applyFont="1" applyFill="1" applyBorder="1" applyAlignment="1">
      <alignment horizontal="center" vertical="center"/>
    </xf>
    <xf numFmtId="164" fontId="3" fillId="5" borderId="10" xfId="0" applyNumberFormat="1" applyFont="1" applyFill="1" applyBorder="1" applyAlignment="1">
      <alignment horizontal="center" vertical="center"/>
    </xf>
    <xf numFmtId="1" fontId="3" fillId="5" borderId="11" xfId="0" applyNumberFormat="1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Sandbox!$B$2:$B$22</c:f>
              <c:numCache>
                <c:formatCode>0.000</c:formatCode>
                <c:ptCount val="21"/>
                <c:pt idx="0">
                  <c:v>0.58579785745643898</c:v>
                </c:pt>
                <c:pt idx="1">
                  <c:v>0.95029521069784439</c:v>
                </c:pt>
                <c:pt idx="2">
                  <c:v>0.95181209279891599</c:v>
                </c:pt>
                <c:pt idx="3">
                  <c:v>0.58976910635397051</c:v>
                </c:pt>
                <c:pt idx="4">
                  <c:v>2.4543667964601521E-3</c:v>
                </c:pt>
                <c:pt idx="5">
                  <c:v>-0.58579785745643886</c:v>
                </c:pt>
                <c:pt idx="6">
                  <c:v>-0.95029521069784428</c:v>
                </c:pt>
                <c:pt idx="7">
                  <c:v>-0.95181209279891621</c:v>
                </c:pt>
                <c:pt idx="8">
                  <c:v>-0.58976910635397117</c:v>
                </c:pt>
                <c:pt idx="9">
                  <c:v>-2.454366796460761E-3</c:v>
                </c:pt>
                <c:pt idx="10">
                  <c:v>0.58579785745643809</c:v>
                </c:pt>
                <c:pt idx="11">
                  <c:v>0.95029521069784406</c:v>
                </c:pt>
                <c:pt idx="12">
                  <c:v>0.9518120927989161</c:v>
                </c:pt>
                <c:pt idx="13">
                  <c:v>0.58976910635397095</c:v>
                </c:pt>
                <c:pt idx="14">
                  <c:v>2.4543667964595514E-3</c:v>
                </c:pt>
                <c:pt idx="15">
                  <c:v>-0.58579785745643942</c:v>
                </c:pt>
                <c:pt idx="16">
                  <c:v>-0.95029521069784484</c:v>
                </c:pt>
                <c:pt idx="17">
                  <c:v>-0.95181209279891554</c:v>
                </c:pt>
                <c:pt idx="18">
                  <c:v>-0.58976910635396818</c:v>
                </c:pt>
                <c:pt idx="19">
                  <c:v>-2.4543667964570092E-3</c:v>
                </c:pt>
                <c:pt idx="20">
                  <c:v>0.58579785745644153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</c:v>
                </c:pt>
                <c:pt idx="1">
                  <c:v>-0.58778525229247314</c:v>
                </c:pt>
                <c:pt idx="2">
                  <c:v>-0.95105651629515353</c:v>
                </c:pt>
                <c:pt idx="3">
                  <c:v>-0.95105651629515364</c:v>
                </c:pt>
                <c:pt idx="4">
                  <c:v>-0.58778525229247325</c:v>
                </c:pt>
                <c:pt idx="5">
                  <c:v>-1.22514845490862E-16</c:v>
                </c:pt>
                <c:pt idx="6">
                  <c:v>0.58778525229247303</c:v>
                </c:pt>
                <c:pt idx="7">
                  <c:v>0.95105651629515353</c:v>
                </c:pt>
                <c:pt idx="8">
                  <c:v>0.95105651629515364</c:v>
                </c:pt>
                <c:pt idx="9">
                  <c:v>0.58778525229247336</c:v>
                </c:pt>
                <c:pt idx="10">
                  <c:v>2.45029690981724E-16</c:v>
                </c:pt>
                <c:pt idx="11">
                  <c:v>-0.58778525229247358</c:v>
                </c:pt>
                <c:pt idx="12">
                  <c:v>-0.95105651629515353</c:v>
                </c:pt>
                <c:pt idx="13">
                  <c:v>-0.95105651629515364</c:v>
                </c:pt>
                <c:pt idx="14">
                  <c:v>-0.58778525229247336</c:v>
                </c:pt>
                <c:pt idx="15">
                  <c:v>-3.67544536472586E-16</c:v>
                </c:pt>
                <c:pt idx="16">
                  <c:v>0.5877852522924728</c:v>
                </c:pt>
                <c:pt idx="17">
                  <c:v>0.95105651629515342</c:v>
                </c:pt>
                <c:pt idx="18">
                  <c:v>0.95105651629515375</c:v>
                </c:pt>
                <c:pt idx="19">
                  <c:v>0.58778525229247347</c:v>
                </c:pt>
                <c:pt idx="20">
                  <c:v>4.90059381963448E-16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339574</xdr:colOff>
      <xdr:row>10</xdr:row>
      <xdr:rowOff>47624</xdr:rowOff>
    </xdr:from>
    <xdr:to>
      <xdr:col>22</xdr:col>
      <xdr:colOff>591614</xdr:colOff>
      <xdr:row>16</xdr:row>
      <xdr:rowOff>153237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1574" y="2333624"/>
          <a:ext cx="1585540" cy="1248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581024</xdr:colOff>
      <xdr:row>0</xdr:row>
      <xdr:rowOff>9525</xdr:rowOff>
    </xdr:from>
    <xdr:to>
      <xdr:col>20</xdr:col>
      <xdr:colOff>361949</xdr:colOff>
      <xdr:row>33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463399</xdr:colOff>
      <xdr:row>7</xdr:row>
      <xdr:rowOff>161924</xdr:rowOff>
    </xdr:from>
    <xdr:to>
      <xdr:col>22</xdr:col>
      <xdr:colOff>191564</xdr:colOff>
      <xdr:row>14</xdr:row>
      <xdr:rowOff>77037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399" y="1990724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22</xdr:col>
      <xdr:colOff>171450</xdr:colOff>
      <xdr:row>7</xdr:row>
      <xdr:rowOff>133350</xdr:rowOff>
    </xdr:from>
    <xdr:to>
      <xdr:col>24</xdr:col>
      <xdr:colOff>75142</xdr:colOff>
      <xdr:row>14</xdr:row>
      <xdr:rowOff>66675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0825" y="1962150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657226</xdr:colOff>
      <xdr:row>14</xdr:row>
      <xdr:rowOff>28576</xdr:rowOff>
    </xdr:from>
    <xdr:to>
      <xdr:col>22</xdr:col>
      <xdr:colOff>1000125</xdr:colOff>
      <xdr:row>20</xdr:row>
      <xdr:rowOff>138232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6" y="3190876"/>
          <a:ext cx="1590674" cy="1252656"/>
        </a:xfrm>
        <a:prstGeom prst="rect">
          <a:avLst/>
        </a:prstGeom>
      </xdr:spPr>
    </xdr:pic>
    <xdr:clientData/>
  </xdr:twoCellAnchor>
  <xdr:twoCellAnchor editAs="oneCell">
    <xdr:from>
      <xdr:col>20</xdr:col>
      <xdr:colOff>428625</xdr:colOff>
      <xdr:row>23</xdr:row>
      <xdr:rowOff>104775</xdr:rowOff>
    </xdr:from>
    <xdr:to>
      <xdr:col>21</xdr:col>
      <xdr:colOff>1190625</xdr:colOff>
      <xdr:row>30</xdr:row>
      <xdr:rowOff>142875</xdr:rowOff>
    </xdr:to>
    <xdr:pic macro="[0]!abrirFormPDF">
      <xdr:nvPicPr>
        <xdr:cNvPr id="5" name="Imagem 4">
          <a:extLst>
            <a:ext uri="{FF2B5EF4-FFF2-40B4-BE49-F238E27FC236}">
              <a16:creationId xmlns:a16="http://schemas.microsoft.com/office/drawing/2014/main" id="{565DE57D-D166-C7EB-9DAB-A5CFF1BC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0625" y="4991100"/>
          <a:ext cx="1371600" cy="13716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1104901</xdr:colOff>
      <xdr:row>24</xdr:row>
      <xdr:rowOff>104776</xdr:rowOff>
    </xdr:from>
    <xdr:to>
      <xdr:col>22</xdr:col>
      <xdr:colOff>838200</xdr:colOff>
      <xdr:row>29</xdr:row>
      <xdr:rowOff>133350</xdr:rowOff>
    </xdr:to>
    <xdr:pic macro="[0]!abrirFormWav">
      <xdr:nvPicPr>
        <xdr:cNvPr id="6" name="Imagem 5">
          <a:extLst>
            <a:ext uri="{FF2B5EF4-FFF2-40B4-BE49-F238E27FC236}">
              <a16:creationId xmlns:a16="http://schemas.microsoft.com/office/drawing/2014/main" id="{3F6633F3-A897-8BB0-7C66-409FFF92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1" y="5181601"/>
          <a:ext cx="981074" cy="981074"/>
        </a:xfrm>
        <a:prstGeom prst="rect">
          <a:avLst/>
        </a:prstGeom>
      </xdr:spPr>
    </xdr:pic>
    <xdr:clientData/>
  </xdr:twoCellAnchor>
  <xdr:twoCellAnchor editAs="oneCell">
    <xdr:from>
      <xdr:col>22</xdr:col>
      <xdr:colOff>933451</xdr:colOff>
      <xdr:row>24</xdr:row>
      <xdr:rowOff>104776</xdr:rowOff>
    </xdr:from>
    <xdr:to>
      <xdr:col>24</xdr:col>
      <xdr:colOff>219076</xdr:colOff>
      <xdr:row>29</xdr:row>
      <xdr:rowOff>142876</xdr:rowOff>
    </xdr:to>
    <xdr:pic macro="[0]!ReproduzirAudio">
      <xdr:nvPicPr>
        <xdr:cNvPr id="8" name="Imagem 7">
          <a:extLst>
            <a:ext uri="{FF2B5EF4-FFF2-40B4-BE49-F238E27FC236}">
              <a16:creationId xmlns:a16="http://schemas.microsoft.com/office/drawing/2014/main" id="{266675AC-48AA-1E56-311C-D3A0AADE0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6" y="5181601"/>
          <a:ext cx="990600" cy="990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workbookViewId="0">
      <selection activeCell="V25" sqref="V25"/>
    </sheetView>
  </sheetViews>
  <sheetFormatPr defaultRowHeight="15" x14ac:dyDescent="0.25"/>
  <cols>
    <col min="1" max="3" width="9.140625" style="3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1" t="s">
        <v>1</v>
      </c>
      <c r="B1" s="1" t="s">
        <v>2</v>
      </c>
      <c r="C1" s="1" t="s">
        <v>3</v>
      </c>
      <c r="U1" s="16"/>
      <c r="V1" s="32" t="s">
        <v>4</v>
      </c>
      <c r="W1" s="33"/>
      <c r="X1" s="16"/>
      <c r="Y1" s="16"/>
      <c r="Z1" s="16"/>
      <c r="AA1" s="16"/>
      <c r="AB1" s="16"/>
      <c r="AC1" s="16"/>
    </row>
    <row r="2" spans="1:29" ht="23.25" x14ac:dyDescent="0.25">
      <c r="A2" s="2">
        <v>0</v>
      </c>
      <c r="B2" s="2">
        <f t="shared" ref="B2:B12" si="0">SIN(2*PI()*($W$2*C2-A2/$W$3))</f>
        <v>0.58579785745643898</v>
      </c>
      <c r="C2" s="8">
        <v>4.00390625</v>
      </c>
      <c r="U2" s="16"/>
      <c r="V2" s="4" t="s">
        <v>5</v>
      </c>
      <c r="W2" s="5">
        <v>0.1</v>
      </c>
      <c r="X2" s="16"/>
      <c r="Y2" s="16"/>
      <c r="Z2" s="16"/>
      <c r="AA2" s="16"/>
      <c r="AB2" s="16"/>
      <c r="AC2" s="16"/>
    </row>
    <row r="3" spans="1:29" ht="23.25" x14ac:dyDescent="0.25">
      <c r="A3" s="2">
        <f>$W$3/10</f>
        <v>0.1</v>
      </c>
      <c r="B3" s="2">
        <f t="shared" si="0"/>
        <v>0.95029521069784439</v>
      </c>
      <c r="C3" s="8">
        <v>4.00390625</v>
      </c>
      <c r="U3" s="16"/>
      <c r="V3" s="9" t="s">
        <v>6</v>
      </c>
      <c r="W3" s="6">
        <v>1</v>
      </c>
      <c r="X3" s="16"/>
      <c r="Y3" s="16"/>
      <c r="Z3" s="16"/>
      <c r="AA3" s="16"/>
      <c r="AB3" s="16"/>
      <c r="AC3" s="16"/>
    </row>
    <row r="4" spans="1:29" ht="23.25" x14ac:dyDescent="0.25">
      <c r="A4" s="2">
        <f>A3+$A$3</f>
        <v>0.2</v>
      </c>
      <c r="B4" s="2">
        <f t="shared" si="0"/>
        <v>0.95181209279891599</v>
      </c>
      <c r="C4" s="8">
        <v>4.00390625</v>
      </c>
      <c r="U4" s="16"/>
      <c r="V4" s="4" t="s">
        <v>7</v>
      </c>
      <c r="W4" s="7">
        <v>4</v>
      </c>
      <c r="X4" s="16"/>
      <c r="Y4" s="16"/>
      <c r="Z4" s="16"/>
      <c r="AA4" s="16"/>
      <c r="AB4" s="16"/>
      <c r="AC4" s="16"/>
    </row>
    <row r="5" spans="1:29" x14ac:dyDescent="0.25">
      <c r="A5" s="2">
        <f t="shared" ref="A5:A22" si="1">A4+$A$3</f>
        <v>0.30000000000000004</v>
      </c>
      <c r="B5" s="2">
        <f t="shared" si="0"/>
        <v>0.58976910635397051</v>
      </c>
      <c r="C5" s="8">
        <v>4.00390625</v>
      </c>
      <c r="U5" s="16"/>
      <c r="V5" s="16"/>
      <c r="W5" s="16"/>
      <c r="X5" s="16"/>
      <c r="Y5" s="16"/>
      <c r="Z5" s="16"/>
      <c r="AA5" s="16"/>
      <c r="AB5" s="16"/>
      <c r="AC5" s="16"/>
    </row>
    <row r="6" spans="1:29" x14ac:dyDescent="0.25">
      <c r="A6" s="2">
        <f t="shared" si="1"/>
        <v>0.4</v>
      </c>
      <c r="B6" s="2">
        <f t="shared" si="0"/>
        <v>2.4543667964601521E-3</v>
      </c>
      <c r="C6" s="8">
        <v>4.00390625</v>
      </c>
      <c r="U6" s="16"/>
      <c r="V6" s="16"/>
      <c r="W6" s="16"/>
      <c r="X6" s="16"/>
      <c r="Y6" s="16"/>
      <c r="Z6" s="16"/>
      <c r="AA6" s="16"/>
      <c r="AB6" s="16"/>
      <c r="AC6" s="16"/>
    </row>
    <row r="7" spans="1:29" x14ac:dyDescent="0.25">
      <c r="A7" s="2">
        <f t="shared" si="1"/>
        <v>0.5</v>
      </c>
      <c r="B7" s="2">
        <f t="shared" si="0"/>
        <v>-0.58579785745643886</v>
      </c>
      <c r="C7" s="8">
        <v>4.00390625</v>
      </c>
      <c r="U7" s="16"/>
      <c r="V7" s="16"/>
      <c r="W7" s="16"/>
      <c r="X7" s="16"/>
      <c r="Y7" s="16"/>
      <c r="Z7" s="16"/>
      <c r="AA7" s="16"/>
      <c r="AB7" s="16"/>
      <c r="AC7" s="16"/>
    </row>
    <row r="8" spans="1:29" x14ac:dyDescent="0.25">
      <c r="A8" s="2">
        <f t="shared" si="1"/>
        <v>0.6</v>
      </c>
      <c r="B8" s="2">
        <f t="shared" si="0"/>
        <v>-0.95029521069784428</v>
      </c>
      <c r="C8" s="8">
        <v>4.00390625</v>
      </c>
      <c r="U8" s="16"/>
      <c r="V8" s="16"/>
      <c r="W8" s="16"/>
      <c r="X8" s="16"/>
      <c r="Y8" s="16"/>
      <c r="Z8" s="16"/>
      <c r="AA8" s="16"/>
      <c r="AB8" s="16"/>
      <c r="AC8" s="16"/>
    </row>
    <row r="9" spans="1:29" x14ac:dyDescent="0.25">
      <c r="A9" s="2">
        <f t="shared" si="1"/>
        <v>0.7</v>
      </c>
      <c r="B9" s="2">
        <f t="shared" si="0"/>
        <v>-0.95181209279891621</v>
      </c>
      <c r="C9" s="8">
        <v>4.00390625</v>
      </c>
      <c r="U9" s="16"/>
      <c r="V9" s="16"/>
      <c r="W9" s="16"/>
      <c r="X9" s="16"/>
      <c r="Y9" s="16"/>
      <c r="Z9" s="16"/>
      <c r="AA9" s="16"/>
      <c r="AB9" s="16"/>
      <c r="AC9" s="16"/>
    </row>
    <row r="10" spans="1:29" x14ac:dyDescent="0.25">
      <c r="A10" s="2">
        <f t="shared" si="1"/>
        <v>0.79999999999999993</v>
      </c>
      <c r="B10" s="2">
        <f t="shared" si="0"/>
        <v>-0.58976910635397117</v>
      </c>
      <c r="C10" s="8">
        <v>4.00390625</v>
      </c>
      <c r="U10" s="16"/>
      <c r="V10" s="16"/>
      <c r="W10" s="16"/>
      <c r="X10" s="16"/>
      <c r="Y10" s="16"/>
      <c r="Z10" s="16"/>
      <c r="AA10" s="16"/>
      <c r="AB10" s="16"/>
      <c r="AC10" s="16"/>
    </row>
    <row r="11" spans="1:29" x14ac:dyDescent="0.25">
      <c r="A11" s="2">
        <f t="shared" si="1"/>
        <v>0.89999999999999991</v>
      </c>
      <c r="B11" s="2">
        <f t="shared" si="0"/>
        <v>-2.454366796460761E-3</v>
      </c>
      <c r="C11" s="8">
        <v>4.00390625</v>
      </c>
      <c r="U11" s="16"/>
      <c r="V11" s="16"/>
      <c r="W11" s="16"/>
      <c r="X11" s="16"/>
      <c r="Y11" s="16"/>
      <c r="Z11" s="16"/>
      <c r="AA11" s="16"/>
      <c r="AB11" s="16"/>
      <c r="AC11" s="16"/>
    </row>
    <row r="12" spans="1:29" x14ac:dyDescent="0.25">
      <c r="A12" s="2">
        <f t="shared" si="1"/>
        <v>0.99999999999999989</v>
      </c>
      <c r="B12" s="2">
        <f t="shared" si="0"/>
        <v>0.58579785745643809</v>
      </c>
      <c r="C12" s="8">
        <v>4.00390625</v>
      </c>
      <c r="U12" s="16"/>
      <c r="V12" s="16"/>
      <c r="W12" s="16"/>
      <c r="X12" s="16"/>
      <c r="Y12" s="16"/>
      <c r="Z12" s="16"/>
      <c r="AA12" s="16"/>
      <c r="AB12" s="16"/>
      <c r="AC12" s="16"/>
    </row>
    <row r="13" spans="1:29" x14ac:dyDescent="0.25">
      <c r="A13" s="2">
        <f t="shared" si="1"/>
        <v>1.0999999999999999</v>
      </c>
      <c r="B13" s="2">
        <f t="shared" ref="B13:B22" si="2">SIN(2*PI()*($W$2*C13-A13/$W$3))</f>
        <v>0.95029521069784406</v>
      </c>
      <c r="C13" s="8">
        <v>4.00390625</v>
      </c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25">
      <c r="A14" s="2">
        <f t="shared" si="1"/>
        <v>1.2</v>
      </c>
      <c r="B14" s="2">
        <f t="shared" si="2"/>
        <v>0.9518120927989161</v>
      </c>
      <c r="C14" s="8">
        <v>4.00390625</v>
      </c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25">
      <c r="A15" s="2">
        <f t="shared" si="1"/>
        <v>1.3</v>
      </c>
      <c r="B15" s="2">
        <f t="shared" si="2"/>
        <v>0.58976910635397095</v>
      </c>
      <c r="C15" s="8">
        <v>4.00390625</v>
      </c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25">
      <c r="A16" s="2">
        <f t="shared" si="1"/>
        <v>1.4000000000000001</v>
      </c>
      <c r="B16" s="2">
        <f t="shared" si="2"/>
        <v>2.4543667964595514E-3</v>
      </c>
      <c r="C16" s="8">
        <v>4.00390625</v>
      </c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25">
      <c r="A17" s="2">
        <f t="shared" si="1"/>
        <v>1.5000000000000002</v>
      </c>
      <c r="B17" s="2">
        <f t="shared" si="2"/>
        <v>-0.58579785745643942</v>
      </c>
      <c r="C17" s="8">
        <v>4.00390625</v>
      </c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25">
      <c r="A18" s="2">
        <f t="shared" si="1"/>
        <v>1.6000000000000003</v>
      </c>
      <c r="B18" s="2">
        <f t="shared" si="2"/>
        <v>-0.95029521069784484</v>
      </c>
      <c r="C18" s="8">
        <v>4.00390625</v>
      </c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25">
      <c r="A19" s="2">
        <f t="shared" si="1"/>
        <v>1.7000000000000004</v>
      </c>
      <c r="B19" s="2">
        <f t="shared" si="2"/>
        <v>-0.95181209279891554</v>
      </c>
      <c r="C19" s="8">
        <v>4.00390625</v>
      </c>
      <c r="U19" s="16"/>
      <c r="V19" s="16"/>
      <c r="W19" s="16"/>
      <c r="X19" s="16"/>
      <c r="Y19" s="16"/>
      <c r="Z19" s="16"/>
      <c r="AA19" s="16"/>
      <c r="AB19" s="16"/>
      <c r="AC19" s="16"/>
    </row>
    <row r="20" spans="1:29" x14ac:dyDescent="0.25">
      <c r="A20" s="2">
        <f t="shared" si="1"/>
        <v>1.8000000000000005</v>
      </c>
      <c r="B20" s="2">
        <f t="shared" si="2"/>
        <v>-0.58976910635396818</v>
      </c>
      <c r="C20" s="8">
        <v>4.00390625</v>
      </c>
      <c r="U20" s="16"/>
      <c r="V20" s="16"/>
      <c r="W20" s="16"/>
      <c r="X20" s="16"/>
      <c r="Y20" s="16"/>
      <c r="Z20" s="16"/>
      <c r="AA20" s="16"/>
      <c r="AB20" s="16"/>
      <c r="AC20" s="16"/>
    </row>
    <row r="21" spans="1:29" x14ac:dyDescent="0.25">
      <c r="A21" s="2">
        <f t="shared" si="1"/>
        <v>1.9000000000000006</v>
      </c>
      <c r="B21" s="2">
        <f t="shared" si="2"/>
        <v>-2.4543667964570092E-3</v>
      </c>
      <c r="C21" s="8">
        <v>4.00390625</v>
      </c>
      <c r="U21" s="16"/>
      <c r="V21" s="16"/>
      <c r="W21" s="16"/>
      <c r="X21" s="16"/>
      <c r="Y21" s="16"/>
      <c r="Z21" s="16"/>
      <c r="AA21" s="16"/>
      <c r="AB21" s="16"/>
      <c r="AC21" s="16"/>
    </row>
    <row r="22" spans="1:29" x14ac:dyDescent="0.25">
      <c r="A22" s="2">
        <f t="shared" si="1"/>
        <v>2.0000000000000004</v>
      </c>
      <c r="B22" s="2">
        <f t="shared" si="2"/>
        <v>0.58579785745644153</v>
      </c>
      <c r="C22" s="8">
        <v>4.00390625</v>
      </c>
      <c r="U22" s="16"/>
      <c r="V22" s="16"/>
      <c r="W22" s="16"/>
      <c r="X22" s="16"/>
      <c r="Y22" s="16"/>
      <c r="Z22" s="16"/>
      <c r="AA22" s="16"/>
      <c r="AB22" s="16"/>
      <c r="AC22" s="16"/>
    </row>
    <row r="23" spans="1:29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x14ac:dyDescent="0.25">
      <c r="A34" s="2"/>
      <c r="B34" s="2"/>
      <c r="C34" s="2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x14ac:dyDescent="0.25">
      <c r="A35" s="2"/>
      <c r="B35" s="2"/>
      <c r="C35" s="2"/>
    </row>
    <row r="36" spans="1:29" x14ac:dyDescent="0.25">
      <c r="A36" s="2"/>
      <c r="B36" s="2"/>
      <c r="C36" s="2"/>
    </row>
    <row r="37" spans="1:29" x14ac:dyDescent="0.25">
      <c r="A37" s="2"/>
      <c r="B37" s="2"/>
      <c r="C37" s="2"/>
    </row>
    <row r="38" spans="1:29" x14ac:dyDescent="0.25">
      <c r="A38" s="2"/>
      <c r="B38" s="2"/>
      <c r="C38" s="2"/>
    </row>
    <row r="39" spans="1:29" x14ac:dyDescent="0.25">
      <c r="A39" s="2"/>
      <c r="B39" s="2"/>
      <c r="C39" s="2"/>
    </row>
    <row r="40" spans="1:29" x14ac:dyDescent="0.25">
      <c r="A40" s="2"/>
      <c r="B40" s="2"/>
      <c r="C40" s="2"/>
    </row>
    <row r="41" spans="1:29" x14ac:dyDescent="0.25">
      <c r="A41" s="2"/>
      <c r="B41" s="2"/>
      <c r="C41" s="2"/>
    </row>
    <row r="42" spans="1:29" x14ac:dyDescent="0.25">
      <c r="A42" s="2"/>
      <c r="B42" s="2"/>
      <c r="C42" s="2"/>
    </row>
    <row r="43" spans="1:29" x14ac:dyDescent="0.25">
      <c r="A43" s="2"/>
      <c r="B43" s="2"/>
      <c r="C43" s="2"/>
    </row>
    <row r="44" spans="1:29" x14ac:dyDescent="0.25">
      <c r="A44" s="2"/>
      <c r="B44" s="2"/>
      <c r="C44" s="2"/>
    </row>
    <row r="45" spans="1:29" x14ac:dyDescent="0.25">
      <c r="A45" s="2"/>
      <c r="B45" s="2"/>
      <c r="C45" s="2"/>
    </row>
    <row r="46" spans="1:29" x14ac:dyDescent="0.25">
      <c r="A46" s="2"/>
      <c r="B46" s="2"/>
      <c r="C46" s="2"/>
    </row>
    <row r="47" spans="1:29" x14ac:dyDescent="0.25">
      <c r="A47" s="2"/>
      <c r="B47" s="2"/>
      <c r="C47" s="2"/>
    </row>
    <row r="48" spans="1:29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Z25" sqref="Z25"/>
    </sheetView>
  </sheetViews>
  <sheetFormatPr defaultRowHeight="15" x14ac:dyDescent="0.25"/>
  <cols>
    <col min="1" max="1" width="8.28515625" style="3" bestFit="1" customWidth="1"/>
    <col min="2" max="3" width="7.7109375" style="3" customWidth="1"/>
    <col min="22" max="22" width="18.7109375" customWidth="1"/>
    <col min="23" max="23" width="18.140625" bestFit="1" customWidth="1"/>
    <col min="24" max="24" width="7.42578125" bestFit="1" customWidth="1"/>
    <col min="25" max="25" width="9.85546875" bestFit="1" customWidth="1"/>
  </cols>
  <sheetData>
    <row r="1" spans="1:28" ht="21" thickBot="1" x14ac:dyDescent="0.3">
      <c r="A1" s="28" t="s">
        <v>1</v>
      </c>
      <c r="B1" s="29" t="s">
        <v>2</v>
      </c>
      <c r="C1" s="30" t="s">
        <v>3</v>
      </c>
      <c r="U1" s="16"/>
      <c r="V1" s="10" t="s">
        <v>0</v>
      </c>
      <c r="W1" s="11">
        <v>34</v>
      </c>
      <c r="X1" s="16"/>
      <c r="Y1" s="16"/>
      <c r="Z1" s="16"/>
      <c r="AA1" s="16"/>
      <c r="AB1" s="16"/>
    </row>
    <row r="2" spans="1:28" ht="23.25" x14ac:dyDescent="0.25">
      <c r="A2" s="25">
        <v>0</v>
      </c>
      <c r="B2" s="26">
        <f>IFERROR(SIN(2*PI()*($W$2*C2-A2/$W$3)),0)</f>
        <v>0</v>
      </c>
      <c r="C2" s="27">
        <v>0</v>
      </c>
      <c r="U2" s="16"/>
      <c r="V2" s="11" t="s">
        <v>5</v>
      </c>
      <c r="W2" s="12">
        <v>5000</v>
      </c>
      <c r="X2" s="16"/>
      <c r="Y2" s="16"/>
      <c r="Z2" s="16"/>
      <c r="AA2" s="16"/>
      <c r="AB2" s="16"/>
    </row>
    <row r="3" spans="1:28" ht="23.25" x14ac:dyDescent="0.25">
      <c r="A3" s="20">
        <f>$W$3/10</f>
        <v>1</v>
      </c>
      <c r="B3" s="19">
        <f t="shared" ref="B3:B12" si="0">IFERROR(SIN(2*PI()*($W$2*C3-A3/$W$3)),0)</f>
        <v>-0.58778525229247314</v>
      </c>
      <c r="C3" s="21">
        <v>0</v>
      </c>
      <c r="U3" s="16"/>
      <c r="V3" s="13" t="s">
        <v>6</v>
      </c>
      <c r="W3" s="14">
        <v>10</v>
      </c>
      <c r="X3" s="16"/>
      <c r="Y3" s="16"/>
      <c r="Z3" s="16"/>
      <c r="AA3" s="16"/>
      <c r="AB3" s="16"/>
    </row>
    <row r="4" spans="1:28" ht="23.25" x14ac:dyDescent="0.25">
      <c r="A4" s="20">
        <f>A3+$A$3</f>
        <v>2</v>
      </c>
      <c r="B4" s="19">
        <f t="shared" si="0"/>
        <v>-0.95105651629515353</v>
      </c>
      <c r="C4" s="21">
        <v>0</v>
      </c>
      <c r="U4" s="16"/>
      <c r="V4" s="11" t="s">
        <v>8</v>
      </c>
      <c r="W4" s="15">
        <v>3</v>
      </c>
      <c r="X4" s="16"/>
      <c r="Y4" s="16"/>
      <c r="Z4" s="16"/>
      <c r="AA4" s="16"/>
      <c r="AB4" s="16"/>
    </row>
    <row r="5" spans="1:28" ht="23.25" x14ac:dyDescent="0.25">
      <c r="A5" s="20">
        <f t="shared" ref="A5:A22" si="1">A4+$A$3</f>
        <v>3</v>
      </c>
      <c r="B5" s="19">
        <f t="shared" si="0"/>
        <v>-0.95105651629515364</v>
      </c>
      <c r="C5" s="21">
        <v>0</v>
      </c>
      <c r="U5" s="16"/>
      <c r="V5" s="11" t="s">
        <v>9</v>
      </c>
      <c r="W5" s="18">
        <v>50000</v>
      </c>
      <c r="X5" s="16"/>
      <c r="Y5" s="16"/>
      <c r="Z5" s="16"/>
      <c r="AA5" s="16"/>
      <c r="AB5" s="16"/>
    </row>
    <row r="6" spans="1:28" x14ac:dyDescent="0.25">
      <c r="A6" s="20">
        <f t="shared" si="1"/>
        <v>4</v>
      </c>
      <c r="B6" s="19">
        <f t="shared" si="0"/>
        <v>-0.58778525229247325</v>
      </c>
      <c r="C6" s="21">
        <v>0</v>
      </c>
      <c r="U6" s="16"/>
      <c r="V6" s="16"/>
      <c r="W6" s="16"/>
      <c r="X6" s="16"/>
      <c r="Y6" s="16"/>
      <c r="Z6" s="16"/>
      <c r="AA6" s="16"/>
      <c r="AB6" s="16"/>
    </row>
    <row r="7" spans="1:28" x14ac:dyDescent="0.25">
      <c r="A7" s="20">
        <f t="shared" si="1"/>
        <v>5</v>
      </c>
      <c r="B7" s="19">
        <f t="shared" si="0"/>
        <v>-1.22514845490862E-16</v>
      </c>
      <c r="C7" s="21">
        <v>0</v>
      </c>
      <c r="U7" s="16"/>
      <c r="V7" s="16"/>
      <c r="W7" s="16"/>
      <c r="X7" s="16"/>
      <c r="Y7" s="16"/>
      <c r="Z7" s="16"/>
      <c r="AA7" s="16"/>
      <c r="AB7" s="16"/>
    </row>
    <row r="8" spans="1:28" x14ac:dyDescent="0.25">
      <c r="A8" s="20">
        <f t="shared" si="1"/>
        <v>6</v>
      </c>
      <c r="B8" s="19">
        <f t="shared" si="0"/>
        <v>0.58778525229247303</v>
      </c>
      <c r="C8" s="21">
        <v>0</v>
      </c>
      <c r="U8" s="16"/>
      <c r="V8" s="16"/>
      <c r="W8" s="16"/>
      <c r="X8" s="16"/>
      <c r="Y8" s="16"/>
      <c r="Z8" s="16"/>
      <c r="AA8" s="16"/>
      <c r="AB8" s="16"/>
    </row>
    <row r="9" spans="1:28" x14ac:dyDescent="0.25">
      <c r="A9" s="20">
        <f t="shared" si="1"/>
        <v>7</v>
      </c>
      <c r="B9" s="19">
        <f t="shared" si="0"/>
        <v>0.95105651629515353</v>
      </c>
      <c r="C9" s="21">
        <v>0</v>
      </c>
      <c r="U9" s="16"/>
      <c r="V9" s="16"/>
      <c r="W9" s="16"/>
      <c r="X9" s="16"/>
      <c r="Y9" s="16"/>
      <c r="Z9" s="16"/>
      <c r="AA9" s="16"/>
      <c r="AB9" s="16"/>
    </row>
    <row r="10" spans="1:28" x14ac:dyDescent="0.25">
      <c r="A10" s="20">
        <f t="shared" si="1"/>
        <v>8</v>
      </c>
      <c r="B10" s="19">
        <f t="shared" si="0"/>
        <v>0.95105651629515364</v>
      </c>
      <c r="C10" s="21">
        <v>0</v>
      </c>
      <c r="U10" s="16"/>
      <c r="V10" s="16"/>
      <c r="W10" s="16"/>
      <c r="X10" s="16"/>
      <c r="Y10" s="16"/>
      <c r="Z10" s="16"/>
      <c r="AA10" s="16"/>
      <c r="AB10" s="16"/>
    </row>
    <row r="11" spans="1:28" x14ac:dyDescent="0.25">
      <c r="A11" s="20">
        <f t="shared" si="1"/>
        <v>9</v>
      </c>
      <c r="B11" s="19">
        <f t="shared" si="0"/>
        <v>0.58778525229247336</v>
      </c>
      <c r="C11" s="21">
        <v>0</v>
      </c>
      <c r="U11" s="16"/>
      <c r="V11" s="16"/>
      <c r="W11" s="16"/>
      <c r="X11" s="16"/>
      <c r="Y11" s="16"/>
      <c r="Z11" s="16"/>
      <c r="AA11" s="16"/>
      <c r="AB11" s="16"/>
    </row>
    <row r="12" spans="1:28" x14ac:dyDescent="0.25">
      <c r="A12" s="20">
        <f t="shared" si="1"/>
        <v>10</v>
      </c>
      <c r="B12" s="19">
        <f t="shared" si="0"/>
        <v>2.45029690981724E-16</v>
      </c>
      <c r="C12" s="21">
        <v>0</v>
      </c>
      <c r="U12" s="16"/>
      <c r="V12" s="16"/>
      <c r="W12" s="16"/>
      <c r="X12" s="16"/>
      <c r="Y12" s="16"/>
      <c r="Z12" s="16"/>
      <c r="AA12" s="16"/>
      <c r="AB12" s="16"/>
    </row>
    <row r="13" spans="1:28" x14ac:dyDescent="0.25">
      <c r="A13" s="20">
        <f t="shared" si="1"/>
        <v>11</v>
      </c>
      <c r="B13" s="19">
        <f t="shared" ref="B13:B22" si="2">IFERROR(SIN(2*PI()*($W$2*C13-A13/$W$3)),0)</f>
        <v>-0.58778525229247358</v>
      </c>
      <c r="C13" s="21">
        <v>0</v>
      </c>
      <c r="U13" s="16"/>
      <c r="V13" s="16"/>
      <c r="W13" s="16"/>
      <c r="X13" s="16"/>
      <c r="Y13" s="16"/>
      <c r="Z13" s="16"/>
      <c r="AA13" s="16"/>
      <c r="AB13" s="16"/>
    </row>
    <row r="14" spans="1:28" x14ac:dyDescent="0.25">
      <c r="A14" s="20">
        <f t="shared" si="1"/>
        <v>12</v>
      </c>
      <c r="B14" s="19">
        <f t="shared" si="2"/>
        <v>-0.95105651629515353</v>
      </c>
      <c r="C14" s="21">
        <v>0</v>
      </c>
      <c r="U14" s="16"/>
      <c r="V14" s="16"/>
      <c r="W14" s="16"/>
      <c r="X14" s="16"/>
      <c r="Y14" s="16"/>
      <c r="Z14" s="16"/>
      <c r="AA14" s="16"/>
      <c r="AB14" s="16"/>
    </row>
    <row r="15" spans="1:28" x14ac:dyDescent="0.25">
      <c r="A15" s="20">
        <f t="shared" si="1"/>
        <v>13</v>
      </c>
      <c r="B15" s="19">
        <f t="shared" si="2"/>
        <v>-0.95105651629515364</v>
      </c>
      <c r="C15" s="21">
        <v>0</v>
      </c>
      <c r="U15" s="16"/>
      <c r="V15" s="16"/>
      <c r="W15" s="16"/>
      <c r="X15" s="16"/>
      <c r="Y15" s="16"/>
      <c r="Z15" s="16"/>
      <c r="AA15" s="16"/>
      <c r="AB15" s="16"/>
    </row>
    <row r="16" spans="1:28" x14ac:dyDescent="0.25">
      <c r="A16" s="20">
        <f t="shared" si="1"/>
        <v>14</v>
      </c>
      <c r="B16" s="19">
        <f t="shared" si="2"/>
        <v>-0.58778525229247336</v>
      </c>
      <c r="C16" s="21">
        <v>0</v>
      </c>
      <c r="U16" s="16"/>
      <c r="V16" s="16"/>
      <c r="W16" s="17"/>
      <c r="X16" s="16"/>
      <c r="Y16" s="16"/>
      <c r="Z16" s="16"/>
      <c r="AA16" s="16"/>
      <c r="AB16" s="16"/>
    </row>
    <row r="17" spans="1:28" x14ac:dyDescent="0.25">
      <c r="A17" s="20">
        <f t="shared" si="1"/>
        <v>15</v>
      </c>
      <c r="B17" s="19">
        <f t="shared" si="2"/>
        <v>-3.67544536472586E-16</v>
      </c>
      <c r="C17" s="21">
        <v>0</v>
      </c>
      <c r="U17" s="16"/>
      <c r="V17" s="16"/>
      <c r="W17" s="16"/>
      <c r="X17" s="16"/>
      <c r="Y17" s="16"/>
      <c r="Z17" s="16"/>
      <c r="AA17" s="16"/>
      <c r="AB17" s="16"/>
    </row>
    <row r="18" spans="1:28" x14ac:dyDescent="0.25">
      <c r="A18" s="20">
        <f t="shared" si="1"/>
        <v>16</v>
      </c>
      <c r="B18" s="19">
        <f t="shared" si="2"/>
        <v>0.5877852522924728</v>
      </c>
      <c r="C18" s="21">
        <v>0</v>
      </c>
      <c r="U18" s="16"/>
      <c r="V18" s="16"/>
      <c r="W18" s="16"/>
      <c r="X18" s="16"/>
      <c r="Y18" s="16"/>
      <c r="Z18" s="16"/>
      <c r="AA18" s="16"/>
      <c r="AB18" s="16"/>
    </row>
    <row r="19" spans="1:28" x14ac:dyDescent="0.25">
      <c r="A19" s="20">
        <f t="shared" si="1"/>
        <v>17</v>
      </c>
      <c r="B19" s="19">
        <f t="shared" si="2"/>
        <v>0.95105651629515342</v>
      </c>
      <c r="C19" s="21">
        <v>0</v>
      </c>
      <c r="U19" s="16"/>
      <c r="V19" s="16"/>
      <c r="W19" s="16"/>
      <c r="X19" s="16"/>
      <c r="Y19" s="16"/>
      <c r="Z19" s="16"/>
      <c r="AA19" s="16"/>
      <c r="AB19" s="16"/>
    </row>
    <row r="20" spans="1:28" x14ac:dyDescent="0.25">
      <c r="A20" s="20">
        <f t="shared" si="1"/>
        <v>18</v>
      </c>
      <c r="B20" s="19">
        <f t="shared" si="2"/>
        <v>0.95105651629515375</v>
      </c>
      <c r="C20" s="21">
        <v>0</v>
      </c>
      <c r="U20" s="16"/>
      <c r="V20" s="16"/>
      <c r="W20" s="16"/>
      <c r="X20" s="16"/>
      <c r="Y20" s="16"/>
      <c r="Z20" s="16"/>
      <c r="AA20" s="16"/>
      <c r="AB20" s="16"/>
    </row>
    <row r="21" spans="1:28" x14ac:dyDescent="0.25">
      <c r="A21" s="20">
        <f t="shared" si="1"/>
        <v>19</v>
      </c>
      <c r="B21" s="19">
        <f t="shared" si="2"/>
        <v>0.58778525229247347</v>
      </c>
      <c r="C21" s="21">
        <v>0</v>
      </c>
      <c r="U21" s="16"/>
      <c r="V21" s="16"/>
      <c r="W21" s="16"/>
      <c r="X21" s="16"/>
      <c r="Y21" s="16"/>
      <c r="Z21" s="16"/>
      <c r="AA21" s="16"/>
      <c r="AB21" s="16"/>
    </row>
    <row r="22" spans="1:28" ht="15.75" thickBot="1" x14ac:dyDescent="0.3">
      <c r="A22" s="22">
        <f t="shared" si="1"/>
        <v>20</v>
      </c>
      <c r="B22" s="23">
        <f t="shared" si="2"/>
        <v>4.90059381963448E-16</v>
      </c>
      <c r="C22" s="24">
        <v>0</v>
      </c>
      <c r="U22" s="16"/>
      <c r="V22" s="16"/>
      <c r="W22" s="16"/>
      <c r="X22" s="16"/>
      <c r="Y22" s="16"/>
      <c r="Z22" s="16"/>
      <c r="AA22" s="16"/>
      <c r="AB22" s="16"/>
    </row>
    <row r="23" spans="1:28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</row>
    <row r="24" spans="1:28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</row>
    <row r="25" spans="1:28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</row>
    <row r="26" spans="1:28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</row>
    <row r="27" spans="1:28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</row>
    <row r="28" spans="1:28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</row>
    <row r="29" spans="1:28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</row>
    <row r="30" spans="1:28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</row>
    <row r="31" spans="1:28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</row>
    <row r="32" spans="1:28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</row>
    <row r="33" spans="1:28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</row>
    <row r="34" spans="1:28" x14ac:dyDescent="0.25">
      <c r="A34" s="2"/>
      <c r="B34" s="2"/>
      <c r="C34" s="2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</row>
    <row r="35" spans="1:28" x14ac:dyDescent="0.25">
      <c r="A35" s="2"/>
      <c r="B35" s="2"/>
      <c r="C35" s="2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</row>
    <row r="36" spans="1:28" x14ac:dyDescent="0.25">
      <c r="A36" s="2"/>
      <c r="B36" s="2"/>
      <c r="C36" s="2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</row>
    <row r="37" spans="1:28" x14ac:dyDescent="0.25">
      <c r="A37" s="2"/>
      <c r="B37" s="2"/>
      <c r="C37" s="2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</row>
    <row r="38" spans="1:28" x14ac:dyDescent="0.25">
      <c r="A38" s="2"/>
      <c r="B38" s="2"/>
      <c r="C38" s="2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</row>
    <row r="39" spans="1:28" x14ac:dyDescent="0.25">
      <c r="A39" s="2"/>
      <c r="B39" s="2"/>
      <c r="C39" s="2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</row>
    <row r="40" spans="1:28" x14ac:dyDescent="0.25">
      <c r="A40" s="2"/>
      <c r="B40" s="2"/>
      <c r="C40" s="2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</row>
    <row r="41" spans="1:28" x14ac:dyDescent="0.25">
      <c r="A41" s="2"/>
      <c r="B41" s="2"/>
      <c r="C41" s="2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</row>
    <row r="42" spans="1:28" x14ac:dyDescent="0.25">
      <c r="A42" s="2"/>
      <c r="B42" s="2"/>
      <c r="C42" s="2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</row>
    <row r="43" spans="1:28" x14ac:dyDescent="0.25">
      <c r="A43" s="2"/>
      <c r="B43" s="2"/>
      <c r="C43" s="2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</row>
    <row r="44" spans="1:28" x14ac:dyDescent="0.25">
      <c r="A44" s="2"/>
      <c r="B44" s="2"/>
      <c r="C44" s="2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</row>
    <row r="45" spans="1:28" x14ac:dyDescent="0.25">
      <c r="A45" s="2"/>
      <c r="B45" s="2"/>
      <c r="C45" s="2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</row>
    <row r="46" spans="1:28" x14ac:dyDescent="0.25">
      <c r="A46" s="2"/>
      <c r="B46" s="2"/>
      <c r="C46" s="2"/>
    </row>
    <row r="47" spans="1:28" x14ac:dyDescent="0.25">
      <c r="A47" s="2"/>
      <c r="B47" s="2"/>
      <c r="C47" s="2"/>
    </row>
    <row r="48" spans="1:28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Sandbox</vt:lpstr>
      <vt:lpstr>Consulta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José Gabriel</cp:lastModifiedBy>
  <dcterms:created xsi:type="dcterms:W3CDTF">2024-10-05T13:22:25Z</dcterms:created>
  <dcterms:modified xsi:type="dcterms:W3CDTF">2024-10-12T23:56:06Z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