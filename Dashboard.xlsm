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https://cefsaedu-my.sharepoint.com/personal/082230001_faculdade_cefsa_edu_br/Documents/projetos/PBL - 3S/"/>
    </mc:Choice>
  </mc:AlternateContent>
  <xr:revisionPtr revIDLastSave="20152" documentId="13_ncr:1_{DDDACED9-30C1-49B3-A7A8-BCEB3346C61C}" xr6:coauthVersionLast="47" xr6:coauthVersionMax="47" xr10:uidLastSave="{2D2E0856-43AE-4F7D-A6D3-144845DC5A9F}"/>
  <bookViews>
    <workbookView xWindow="-120" yWindow="-120" windowWidth="29040" windowHeight="15840" activeTab="2" xr2:uid="{9B452E65-EE66-4AAC-81BA-5408C29E36FC}"/>
  </bookViews>
  <sheets>
    <sheet name="Sandbox" sheetId="1" r:id="rId1"/>
    <sheet name="Consulta" sheetId="2" r:id="rId2"/>
    <sheet name="Comparador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4" l="1"/>
  <c r="C3" i="4"/>
  <c r="D3" i="4" s="1"/>
  <c r="A3" i="4"/>
  <c r="A4" i="4" s="1"/>
  <c r="B4" i="4" s="1"/>
  <c r="B2" i="4"/>
  <c r="A13" i="1"/>
  <c r="B13" i="1" s="1"/>
  <c r="A3" i="2"/>
  <c r="A4" i="2" s="1"/>
  <c r="B4" i="2" s="1"/>
  <c r="B2" i="2"/>
  <c r="B2" i="1"/>
  <c r="A3" i="1"/>
  <c r="A4" i="1" s="1"/>
  <c r="A5" i="1" s="1"/>
  <c r="A6" i="1" s="1"/>
  <c r="A7" i="1" s="1"/>
  <c r="A8" i="1" s="1"/>
  <c r="A9" i="1" s="1"/>
  <c r="A10" i="1" s="1"/>
  <c r="A11" i="1" s="1"/>
  <c r="A12" i="1" s="1"/>
  <c r="C4" i="4" l="1"/>
  <c r="B3" i="4"/>
  <c r="A5" i="4"/>
  <c r="B5" i="4" s="1"/>
  <c r="A14" i="1"/>
  <c r="B3" i="2"/>
  <c r="A5" i="2"/>
  <c r="B5" i="2" s="1"/>
  <c r="B10" i="1"/>
  <c r="B5" i="1"/>
  <c r="B3" i="1"/>
  <c r="B11" i="1"/>
  <c r="B9" i="1"/>
  <c r="B8" i="1"/>
  <c r="B7" i="1"/>
  <c r="B6" i="1"/>
  <c r="B4" i="1"/>
  <c r="B12" i="1"/>
  <c r="D4" i="4" l="1"/>
  <c r="C5" i="4"/>
  <c r="A6" i="4"/>
  <c r="B6" i="4" s="1"/>
  <c r="B14" i="1"/>
  <c r="A15" i="1"/>
  <c r="A6" i="2"/>
  <c r="B6" i="2" s="1"/>
  <c r="C6" i="4" l="1"/>
  <c r="D5" i="4"/>
  <c r="A7" i="4"/>
  <c r="B7" i="4" s="1"/>
  <c r="B15" i="1"/>
  <c r="A16" i="1"/>
  <c r="A7" i="2"/>
  <c r="B7" i="2" s="1"/>
  <c r="C7" i="4" l="1"/>
  <c r="D6" i="4"/>
  <c r="A8" i="4"/>
  <c r="B8" i="4" s="1"/>
  <c r="B16" i="1"/>
  <c r="A17" i="1"/>
  <c r="A8" i="2"/>
  <c r="B8" i="2" s="1"/>
  <c r="C8" i="4" l="1"/>
  <c r="D7" i="4"/>
  <c r="A9" i="4"/>
  <c r="B9" i="4" s="1"/>
  <c r="B17" i="1"/>
  <c r="A18" i="1"/>
  <c r="A9" i="2"/>
  <c r="B9" i="2" s="1"/>
  <c r="C9" i="4" l="1"/>
  <c r="D8" i="4"/>
  <c r="A10" i="4"/>
  <c r="B10" i="4" s="1"/>
  <c r="A19" i="1"/>
  <c r="B18" i="1"/>
  <c r="A10" i="2"/>
  <c r="B10" i="2" s="1"/>
  <c r="C10" i="4" l="1"/>
  <c r="D9" i="4"/>
  <c r="A11" i="4"/>
  <c r="B11" i="4" s="1"/>
  <c r="B19" i="1"/>
  <c r="A20" i="1"/>
  <c r="A11" i="2"/>
  <c r="B11" i="2" s="1"/>
  <c r="C11" i="4" l="1"/>
  <c r="D10" i="4"/>
  <c r="A12" i="4"/>
  <c r="B12" i="4" s="1"/>
  <c r="A21" i="1"/>
  <c r="B20" i="1"/>
  <c r="A12" i="2"/>
  <c r="C12" i="4" l="1"/>
  <c r="D11" i="4"/>
  <c r="A13" i="4"/>
  <c r="B13" i="4" s="1"/>
  <c r="B12" i="2"/>
  <c r="A13" i="2"/>
  <c r="B21" i="1"/>
  <c r="A22" i="1"/>
  <c r="B22" i="1" s="1"/>
  <c r="C13" i="4" l="1"/>
  <c r="D12" i="4"/>
  <c r="A14" i="4"/>
  <c r="B14" i="4" s="1"/>
  <c r="B13" i="2"/>
  <c r="A14" i="2"/>
  <c r="C14" i="4" l="1"/>
  <c r="D13" i="4"/>
  <c r="A15" i="4"/>
  <c r="B15" i="4" s="1"/>
  <c r="B14" i="2"/>
  <c r="A15" i="2"/>
  <c r="C15" i="4" l="1"/>
  <c r="D14" i="4"/>
  <c r="A16" i="4"/>
  <c r="B16" i="4" s="1"/>
  <c r="B15" i="2"/>
  <c r="A16" i="2"/>
  <c r="C16" i="4" l="1"/>
  <c r="D15" i="4"/>
  <c r="A17" i="4"/>
  <c r="B17" i="4" s="1"/>
  <c r="B16" i="2"/>
  <c r="A17" i="2"/>
  <c r="C17" i="4" l="1"/>
  <c r="D16" i="4"/>
  <c r="A18" i="4"/>
  <c r="B18" i="4" s="1"/>
  <c r="A18" i="2"/>
  <c r="B17" i="2"/>
  <c r="C18" i="4" l="1"/>
  <c r="D17" i="4"/>
  <c r="A19" i="4"/>
  <c r="B19" i="4" s="1"/>
  <c r="A19" i="2"/>
  <c r="B18" i="2"/>
  <c r="C19" i="4" l="1"/>
  <c r="D18" i="4"/>
  <c r="A20" i="4"/>
  <c r="B20" i="4" s="1"/>
  <c r="B19" i="2"/>
  <c r="A20" i="2"/>
  <c r="C20" i="4" l="1"/>
  <c r="D19" i="4"/>
  <c r="A21" i="4"/>
  <c r="B21" i="4" s="1"/>
  <c r="B20" i="2"/>
  <c r="A21" i="2"/>
  <c r="C21" i="4" l="1"/>
  <c r="D20" i="4"/>
  <c r="A22" i="4"/>
  <c r="B22" i="4" s="1"/>
  <c r="B21" i="2"/>
  <c r="A22" i="2"/>
  <c r="B22" i="2" s="1"/>
  <c r="C22" i="4" l="1"/>
  <c r="D22" i="4" s="1"/>
  <c r="D21" i="4"/>
</calcChain>
</file>

<file path=xl/sharedStrings.xml><?xml version="1.0" encoding="utf-8"?>
<sst xmlns="http://schemas.openxmlformats.org/spreadsheetml/2006/main" count="27" uniqueCount="13">
  <si>
    <t>ID</t>
  </si>
  <si>
    <t>x</t>
  </si>
  <si>
    <t>y</t>
  </si>
  <si>
    <t>t</t>
  </si>
  <si>
    <t>SANDBOX</t>
  </si>
  <si>
    <t>f</t>
  </si>
  <si>
    <t>λ</t>
  </si>
  <si>
    <r>
      <rPr>
        <b/>
        <sz val="16"/>
        <color theme="0"/>
        <rFont val="Aptos Narrow"/>
        <family val="2"/>
      </rPr>
      <t>Δ</t>
    </r>
    <r>
      <rPr>
        <b/>
        <sz val="16"/>
        <color theme="0"/>
        <rFont val="Arial"/>
        <family val="2"/>
      </rPr>
      <t>t</t>
    </r>
  </si>
  <si>
    <r>
      <rPr>
        <b/>
        <sz val="16"/>
        <color theme="1"/>
        <rFont val="Aptos Narrow"/>
        <family val="2"/>
      </rPr>
      <t>Δ</t>
    </r>
    <r>
      <rPr>
        <b/>
        <sz val="16"/>
        <color theme="1"/>
        <rFont val="Arial"/>
        <family val="2"/>
      </rPr>
      <t>t</t>
    </r>
  </si>
  <si>
    <t>ε</t>
  </si>
  <si>
    <t>ONDA 1</t>
  </si>
  <si>
    <t>ONDA 2</t>
  </si>
  <si>
    <r>
      <rPr>
        <b/>
        <sz val="16"/>
        <rFont val="Aptos Narrow"/>
        <family val="2"/>
      </rPr>
      <t>Δ</t>
    </r>
    <r>
      <rPr>
        <b/>
        <sz val="16"/>
        <rFont val="Arial"/>
        <family val="2"/>
      </rPr>
      <t>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</si>
</sst>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\ &quot;Hz&quot;"/>
    <numFmt numFmtId="166" formatCode="0.00\ &quot;m&quot;"/>
    <numFmt numFmtId="167" formatCode="0\ &quot;s&quot;"/>
  </numFmts>
  <fonts count="14" x14ac:knownFonts="1"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b/>
      <i/>
      <sz val="12"/>
      <name val="Arial"/>
      <family val="2"/>
    </font>
    <font>
      <sz val="12"/>
      <name val="Arial"/>
      <family val="2"/>
    </font>
    <font>
      <b/>
      <sz val="16"/>
      <color theme="0"/>
      <name val="Arial"/>
      <family val="2"/>
    </font>
    <font>
      <i/>
      <sz val="18"/>
      <color theme="0"/>
      <name val="Arial"/>
      <family val="2"/>
    </font>
    <font>
      <b/>
      <sz val="16"/>
      <color theme="0"/>
      <name val="Aptos Narrow"/>
      <family val="2"/>
    </font>
    <font>
      <b/>
      <sz val="16"/>
      <color theme="1"/>
      <name val="Arial"/>
      <family val="2"/>
    </font>
    <font>
      <i/>
      <sz val="18"/>
      <color theme="1"/>
      <name val="Arial"/>
      <family val="2"/>
    </font>
    <font>
      <b/>
      <sz val="16"/>
      <color theme="1"/>
      <name val="Aptos Narrow"/>
      <family val="2"/>
    </font>
    <font>
      <u/>
      <sz val="11"/>
      <color theme="1"/>
      <name val="Aptos Narrow"/>
      <family val="2"/>
      <scheme val="minor"/>
    </font>
    <font>
      <b/>
      <sz val="16"/>
      <name val="Arial"/>
      <family val="2"/>
    </font>
    <font>
      <b/>
      <sz val="16"/>
      <name val="Aptos Narrow"/>
      <family val="2"/>
    </font>
    <font>
      <i/>
      <sz val="1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249977111117893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164" fontId="3" fillId="2" borderId="0" xfId="0" applyNumberFormat="1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65" fontId="5" fillId="3" borderId="1" xfId="0" applyNumberFormat="1" applyFont="1" applyFill="1" applyBorder="1" applyAlignment="1">
      <alignment horizontal="center" vertical="center"/>
    </xf>
    <xf numFmtId="166" fontId="5" fillId="3" borderId="1" xfId="0" applyNumberFormat="1" applyFont="1" applyFill="1" applyBorder="1" applyAlignment="1">
      <alignment horizontal="center" vertical="center"/>
    </xf>
    <xf numFmtId="167" fontId="5" fillId="3" borderId="1" xfId="0" applyNumberFormat="1" applyFont="1" applyFill="1" applyBorder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165" fontId="8" fillId="4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66" fontId="8" fillId="4" borderId="1" xfId="0" applyNumberFormat="1" applyFont="1" applyFill="1" applyBorder="1" applyAlignment="1">
      <alignment horizontal="center" vertical="center"/>
    </xf>
    <xf numFmtId="167" fontId="8" fillId="4" borderId="1" xfId="0" applyNumberFormat="1" applyFont="1" applyFill="1" applyBorder="1" applyAlignment="1">
      <alignment horizontal="center" vertical="center"/>
    </xf>
    <xf numFmtId="0" fontId="0" fillId="2" borderId="0" xfId="0" applyFill="1"/>
    <xf numFmtId="0" fontId="10" fillId="2" borderId="0" xfId="0" applyFont="1" applyFill="1"/>
    <xf numFmtId="11" fontId="8" fillId="4" borderId="1" xfId="0" applyNumberFormat="1" applyFont="1" applyFill="1" applyBorder="1" applyAlignment="1">
      <alignment horizontal="center" vertical="center"/>
    </xf>
    <xf numFmtId="164" fontId="3" fillId="2" borderId="0" xfId="0" applyNumberFormat="1" applyFont="1" applyFill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5" fontId="5" fillId="5" borderId="1" xfId="0" applyNumberFormat="1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166" fontId="5" fillId="5" borderId="1" xfId="0" applyNumberFormat="1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165" fontId="5" fillId="6" borderId="1" xfId="0" applyNumberFormat="1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166" fontId="5" fillId="6" borderId="1" xfId="0" applyNumberFormat="1" applyFont="1" applyFill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/>
    </xf>
    <xf numFmtId="167" fontId="13" fillId="7" borderId="4" xfId="0" applyNumberFormat="1" applyFont="1" applyFill="1" applyBorder="1" applyAlignment="1">
      <alignment horizontal="center" vertical="center"/>
    </xf>
    <xf numFmtId="167" fontId="13" fillId="7" borderId="5" xfId="0" applyNumberFormat="1" applyFont="1" applyFill="1" applyBorder="1" applyAlignment="1">
      <alignment horizontal="center" vertical="center"/>
    </xf>
    <xf numFmtId="167" fontId="13" fillId="7" borderId="6" xfId="0" applyNumberFormat="1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Onda</a:t>
            </a:r>
            <a:r>
              <a:rPr lang="en-US" baseline="0"/>
              <a:t> senoidal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20" normalizeH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Sandbox!$B$1</c:f>
              <c:strCache>
                <c:ptCount val="1"/>
                <c:pt idx="0">
                  <c:v>y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Sandbox!$A$2:$A$22</c:f>
              <c:numCache>
                <c:formatCode>0.000</c:formatCode>
                <c:ptCount val="2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</c:numCache>
            </c:numRef>
          </c:xVal>
          <c:yVal>
            <c:numRef>
              <c:f>Sandbox!$B$2:$B$22</c:f>
              <c:numCache>
                <c:formatCode>0.000</c:formatCode>
                <c:ptCount val="21"/>
                <c:pt idx="0">
                  <c:v>0.55557023301960218</c:v>
                </c:pt>
                <c:pt idx="1">
                  <c:v>0.93819133592248405</c:v>
                </c:pt>
                <c:pt idx="2">
                  <c:v>0.96245523645364728</c:v>
                </c:pt>
                <c:pt idx="3">
                  <c:v>0.61909394930983375</c:v>
                </c:pt>
                <c:pt idx="4">
                  <c:v>3.9259815759068471E-2</c:v>
                </c:pt>
                <c:pt idx="5">
                  <c:v>-0.55557023301960218</c:v>
                </c:pt>
                <c:pt idx="6">
                  <c:v>-0.93819133592248405</c:v>
                </c:pt>
                <c:pt idx="7">
                  <c:v>-0.96245523645364739</c:v>
                </c:pt>
                <c:pt idx="8">
                  <c:v>-0.61909394930983419</c:v>
                </c:pt>
                <c:pt idx="9">
                  <c:v>-3.9259815759069394E-2</c:v>
                </c:pt>
                <c:pt idx="10">
                  <c:v>0.55557023301960151</c:v>
                </c:pt>
                <c:pt idx="11">
                  <c:v>0.93819133592248372</c:v>
                </c:pt>
                <c:pt idx="12">
                  <c:v>0.96245523645364739</c:v>
                </c:pt>
                <c:pt idx="13">
                  <c:v>0.61909394930983364</c:v>
                </c:pt>
                <c:pt idx="14">
                  <c:v>3.9259815759068187E-2</c:v>
                </c:pt>
                <c:pt idx="15">
                  <c:v>-0.55557023301960329</c:v>
                </c:pt>
                <c:pt idx="16">
                  <c:v>-0.9381913359224846</c:v>
                </c:pt>
                <c:pt idx="17">
                  <c:v>-0.9624552364536465</c:v>
                </c:pt>
                <c:pt idx="18">
                  <c:v>-0.61909394930983164</c:v>
                </c:pt>
                <c:pt idx="19">
                  <c:v>-3.9259815759065647E-2</c:v>
                </c:pt>
                <c:pt idx="20">
                  <c:v>0.55557023301960462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2B-4DE4-8887-DB4530B8E1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99407"/>
        <c:axId val="390306127"/>
      </c:scatterChart>
      <c:valAx>
        <c:axId val="390299407"/>
        <c:scaling>
          <c:orientation val="minMax"/>
        </c:scaling>
        <c:delete val="0"/>
        <c:axPos val="b"/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306127"/>
        <c:crosses val="autoZero"/>
        <c:crossBetween val="midCat"/>
      </c:valAx>
      <c:valAx>
        <c:axId val="390306127"/>
        <c:scaling>
          <c:orientation val="minMax"/>
        </c:scaling>
        <c:delete val="0"/>
        <c:axPos val="l"/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299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Onda senoidal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Consulta!$B$1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Consulta!$A$2:$A$22</c:f>
              <c:numCache>
                <c:formatCode>0.000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</c:numCache>
            </c:numRef>
          </c:xVal>
          <c:yVal>
            <c:numRef>
              <c:f>Consulta!$B$2:$B$22</c:f>
              <c:numCache>
                <c:formatCode>0.000</c:formatCode>
                <c:ptCount val="21"/>
                <c:pt idx="0">
                  <c:v>0.42755509343027581</c:v>
                </c:pt>
                <c:pt idx="1">
                  <c:v>-0.18545223811158729</c:v>
                </c:pt>
                <c:pt idx="2">
                  <c:v>-0.72762311798457469</c:v>
                </c:pt>
                <c:pt idx="3">
                  <c:v>-0.99186669778762648</c:v>
                </c:pt>
                <c:pt idx="4">
                  <c:v>-0.87725091134492095</c:v>
                </c:pt>
                <c:pt idx="5">
                  <c:v>-0.4275550934302727</c:v>
                </c:pt>
                <c:pt idx="6">
                  <c:v>0.18545223811159064</c:v>
                </c:pt>
                <c:pt idx="7">
                  <c:v>0.72762311798457702</c:v>
                </c:pt>
                <c:pt idx="8">
                  <c:v>0.99186669778762693</c:v>
                </c:pt>
                <c:pt idx="9">
                  <c:v>0.87725091134491928</c:v>
                </c:pt>
                <c:pt idx="10">
                  <c:v>0.42755509343028242</c:v>
                </c:pt>
                <c:pt idx="11">
                  <c:v>-0.18545223811159403</c:v>
                </c:pt>
                <c:pt idx="12">
                  <c:v>-0.72762311798456969</c:v>
                </c:pt>
                <c:pt idx="13">
                  <c:v>-0.99186669778762737</c:v>
                </c:pt>
                <c:pt idx="14">
                  <c:v>-0.8772509113449245</c:v>
                </c:pt>
                <c:pt idx="15">
                  <c:v>-0.42755509343027936</c:v>
                </c:pt>
                <c:pt idx="16">
                  <c:v>0.18545223811159739</c:v>
                </c:pt>
                <c:pt idx="17">
                  <c:v>0.72762311798457202</c:v>
                </c:pt>
                <c:pt idx="18">
                  <c:v>0.99186669778762782</c:v>
                </c:pt>
                <c:pt idx="19">
                  <c:v>0.87725091134492283</c:v>
                </c:pt>
                <c:pt idx="20">
                  <c:v>0.42755509343027626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97-46E9-8425-D4F4516D8B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99407"/>
        <c:axId val="390306127"/>
      </c:scatterChart>
      <c:valAx>
        <c:axId val="390299407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306127"/>
        <c:crosses val="autoZero"/>
        <c:crossBetween val="midCat"/>
      </c:valAx>
      <c:valAx>
        <c:axId val="390306127"/>
        <c:scaling>
          <c:orientation val="minMax"/>
        </c:scaling>
        <c:delete val="0"/>
        <c:axPos val="l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0299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Comparador!$D$1</c:f>
              <c:strCache>
                <c:ptCount val="1"/>
                <c:pt idx="0">
                  <c:v>y</c:v>
                </c:pt>
              </c:strCache>
            </c:strRef>
          </c:tx>
          <c:marker>
            <c:symbol val="none"/>
          </c:marker>
          <c:xVal>
            <c:numRef>
              <c:f>Comparador!$C$2:$C$22</c:f>
              <c:numCache>
                <c:formatCode>0.000</c:formatCode>
                <c:ptCount val="21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  <c:pt idx="15">
                  <c:v>3.0000000000000004</c:v>
                </c:pt>
                <c:pt idx="16">
                  <c:v>3.2000000000000006</c:v>
                </c:pt>
                <c:pt idx="17">
                  <c:v>3.4000000000000008</c:v>
                </c:pt>
                <c:pt idx="18">
                  <c:v>3.600000000000001</c:v>
                </c:pt>
                <c:pt idx="19">
                  <c:v>3.8000000000000012</c:v>
                </c:pt>
                <c:pt idx="20">
                  <c:v>4.0000000000000009</c:v>
                </c:pt>
              </c:numCache>
            </c:numRef>
          </c:xVal>
          <c:yVal>
            <c:numRef>
              <c:f>Comparador!$D$2:$D$22</c:f>
              <c:numCache>
                <c:formatCode>0.000</c:formatCode>
                <c:ptCount val="21"/>
                <c:pt idx="0">
                  <c:v>0.12241067519921392</c:v>
                </c:pt>
                <c:pt idx="1">
                  <c:v>-0.48433251711014325</c:v>
                </c:pt>
                <c:pt idx="2">
                  <c:v>-0.90607714974021569</c:v>
                </c:pt>
                <c:pt idx="3">
                  <c:v>-0.98173110759915438</c:v>
                </c:pt>
                <c:pt idx="4">
                  <c:v>-0.68239715016829783</c:v>
                </c:pt>
                <c:pt idx="5">
                  <c:v>-0.12241067519921404</c:v>
                </c:pt>
                <c:pt idx="6">
                  <c:v>0.48433251711014313</c:v>
                </c:pt>
                <c:pt idx="7">
                  <c:v>0.90607714974021569</c:v>
                </c:pt>
                <c:pt idx="8">
                  <c:v>0.9817311075991545</c:v>
                </c:pt>
                <c:pt idx="9">
                  <c:v>0.68239715016829794</c:v>
                </c:pt>
                <c:pt idx="10">
                  <c:v>0.12241067519921417</c:v>
                </c:pt>
                <c:pt idx="11">
                  <c:v>-0.48433251711013992</c:v>
                </c:pt>
                <c:pt idx="12">
                  <c:v>-0.90607714974021558</c:v>
                </c:pt>
                <c:pt idx="13">
                  <c:v>-0.9817311075991545</c:v>
                </c:pt>
                <c:pt idx="14">
                  <c:v>-0.6823971501682955</c:v>
                </c:pt>
                <c:pt idx="15">
                  <c:v>-0.12241067519921606</c:v>
                </c:pt>
                <c:pt idx="16">
                  <c:v>0.48433251711014447</c:v>
                </c:pt>
                <c:pt idx="17">
                  <c:v>0.90607714974021558</c:v>
                </c:pt>
                <c:pt idx="18">
                  <c:v>0.98173110759915316</c:v>
                </c:pt>
                <c:pt idx="19">
                  <c:v>0.68239715016829428</c:v>
                </c:pt>
                <c:pt idx="20">
                  <c:v>0.12241067519921264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AA0-4335-A1A7-8B2921FA3FF3}"/>
            </c:ext>
          </c:extLst>
        </c:ser>
        <c:ser>
          <c:idx val="0"/>
          <c:order val="1"/>
          <c:tx>
            <c:strRef>
              <c:f>Comparador!$B$1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Comparador!$A$2:$A$22</c:f>
              <c:numCache>
                <c:formatCode>0.000</c:formatCode>
                <c:ptCount val="21"/>
                <c:pt idx="0">
                  <c:v>0</c:v>
                </c:pt>
                <c:pt idx="1">
                  <c:v>7.6999999999999999E-2</c:v>
                </c:pt>
                <c:pt idx="2">
                  <c:v>0.154</c:v>
                </c:pt>
                <c:pt idx="3">
                  <c:v>0.23099999999999998</c:v>
                </c:pt>
                <c:pt idx="4">
                  <c:v>0.308</c:v>
                </c:pt>
                <c:pt idx="5">
                  <c:v>0.38500000000000001</c:v>
                </c:pt>
                <c:pt idx="6">
                  <c:v>0.46200000000000002</c:v>
                </c:pt>
                <c:pt idx="7">
                  <c:v>0.53900000000000003</c:v>
                </c:pt>
                <c:pt idx="8">
                  <c:v>0.61599999999999999</c:v>
                </c:pt>
                <c:pt idx="9">
                  <c:v>0.69299999999999995</c:v>
                </c:pt>
                <c:pt idx="10">
                  <c:v>0.76999999999999991</c:v>
                </c:pt>
                <c:pt idx="11">
                  <c:v>0.84699999999999986</c:v>
                </c:pt>
                <c:pt idx="12">
                  <c:v>0.92399999999999982</c:v>
                </c:pt>
                <c:pt idx="13">
                  <c:v>1.0009999999999999</c:v>
                </c:pt>
                <c:pt idx="14">
                  <c:v>1.0779999999999998</c:v>
                </c:pt>
                <c:pt idx="15">
                  <c:v>1.1549999999999998</c:v>
                </c:pt>
                <c:pt idx="16">
                  <c:v>1.2319999999999998</c:v>
                </c:pt>
                <c:pt idx="17">
                  <c:v>1.3089999999999997</c:v>
                </c:pt>
                <c:pt idx="18">
                  <c:v>1.3859999999999997</c:v>
                </c:pt>
                <c:pt idx="19">
                  <c:v>1.4629999999999996</c:v>
                </c:pt>
                <c:pt idx="20">
                  <c:v>1.5399999999999996</c:v>
                </c:pt>
              </c:numCache>
            </c:numRef>
          </c:xVal>
          <c:yVal>
            <c:numRef>
              <c:f>Comparador!$B$2:$B$22</c:f>
              <c:numCache>
                <c:formatCode>0.000</c:formatCode>
                <c:ptCount val="21"/>
                <c:pt idx="0">
                  <c:v>6.1320736302207433E-2</c:v>
                </c:pt>
                <c:pt idx="1">
                  <c:v>-0.5370695890326308</c:v>
                </c:pt>
                <c:pt idx="2">
                  <c:v>-0.93031758568094125</c:v>
                </c:pt>
                <c:pt idx="3">
                  <c:v>-0.96821588493087563</c:v>
                </c:pt>
                <c:pt idx="4">
                  <c:v>-0.63628862458477342</c:v>
                </c:pt>
                <c:pt idx="5">
                  <c:v>-6.1320736302207558E-2</c:v>
                </c:pt>
                <c:pt idx="6">
                  <c:v>0.53706958903263069</c:v>
                </c:pt>
                <c:pt idx="7">
                  <c:v>0.93031758568094181</c:v>
                </c:pt>
                <c:pt idx="8">
                  <c:v>0.96821588493087607</c:v>
                </c:pt>
                <c:pt idx="9">
                  <c:v>0.63628862458477287</c:v>
                </c:pt>
                <c:pt idx="10">
                  <c:v>6.1320736302208564E-2</c:v>
                </c:pt>
                <c:pt idx="11">
                  <c:v>-0.53706958903262914</c:v>
                </c:pt>
                <c:pt idx="12">
                  <c:v>-0.93031758568094081</c:v>
                </c:pt>
                <c:pt idx="13">
                  <c:v>-0.96821588493087618</c:v>
                </c:pt>
                <c:pt idx="14">
                  <c:v>-0.63628862458477431</c:v>
                </c:pt>
                <c:pt idx="15">
                  <c:v>-6.1320736302210022E-2</c:v>
                </c:pt>
                <c:pt idx="16">
                  <c:v>0.53706958903262825</c:v>
                </c:pt>
                <c:pt idx="17">
                  <c:v>0.93031758568094036</c:v>
                </c:pt>
                <c:pt idx="18">
                  <c:v>0.96821588493087651</c:v>
                </c:pt>
                <c:pt idx="19">
                  <c:v>0.63628862458477542</c:v>
                </c:pt>
                <c:pt idx="20">
                  <c:v>6.1320736302212749E-2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AA0-4335-A1A7-8B2921FA3F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7402783"/>
        <c:axId val="1187406143"/>
      </c:scatterChart>
      <c:valAx>
        <c:axId val="11874027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87406143"/>
        <c:crosses val="autoZero"/>
        <c:crossBetween val="midCat"/>
      </c:valAx>
      <c:valAx>
        <c:axId val="1187406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87402783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2.xml"/><Relationship Id="rId6" Type="http://schemas.openxmlformats.org/officeDocument/2006/relationships/image" Target="../media/image5.png"/><Relationship Id="rId5" Type="http://schemas.openxmlformats.org/officeDocument/2006/relationships/image" Target="../media/image4.jpe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581025</xdr:colOff>
      <xdr:row>0</xdr:row>
      <xdr:rowOff>0</xdr:rowOff>
    </xdr:from>
    <xdr:to>
      <xdr:col>20</xdr:col>
      <xdr:colOff>9525</xdr:colOff>
      <xdr:row>33</xdr:row>
      <xdr:rowOff>171450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FC2224C6-820C-196C-54A7-E567EC1BF7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24</xdr:row>
      <xdr:rowOff>133349</xdr:rowOff>
    </xdr:from>
    <xdr:to>
      <xdr:col>2</xdr:col>
      <xdr:colOff>347290</xdr:colOff>
      <xdr:row>31</xdr:row>
      <xdr:rowOff>48462</xdr:rowOff>
    </xdr:to>
    <xdr:pic macro="[0]!AtualizarTEmTempoReal">
      <xdr:nvPicPr>
        <xdr:cNvPr id="3" name="Imagem 2">
          <a:extLst>
            <a:ext uri="{FF2B5EF4-FFF2-40B4-BE49-F238E27FC236}">
              <a16:creationId xmlns:a16="http://schemas.microsoft.com/office/drawing/2014/main" id="{A2F2E6A7-C6C5-A991-D8DD-97E0729195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086349"/>
          <a:ext cx="1585540" cy="124861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19049</xdr:colOff>
      <xdr:row>0</xdr:row>
      <xdr:rowOff>0</xdr:rowOff>
    </xdr:from>
    <xdr:to>
      <xdr:col>20</xdr:col>
      <xdr:colOff>380999</xdr:colOff>
      <xdr:row>33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C68BECF-CDF1-4D38-AEBE-4A85F7BCA3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20</xdr:col>
      <xdr:colOff>463399</xdr:colOff>
      <xdr:row>7</xdr:row>
      <xdr:rowOff>161924</xdr:rowOff>
    </xdr:from>
    <xdr:to>
      <xdr:col>22</xdr:col>
      <xdr:colOff>191564</xdr:colOff>
      <xdr:row>14</xdr:row>
      <xdr:rowOff>77037</xdr:rowOff>
    </xdr:to>
    <xdr:pic macro="[0]!AtualizarTEmTempoReal">
      <xdr:nvPicPr>
        <xdr:cNvPr id="3" name="Imagem 2">
          <a:extLst>
            <a:ext uri="{FF2B5EF4-FFF2-40B4-BE49-F238E27FC236}">
              <a16:creationId xmlns:a16="http://schemas.microsoft.com/office/drawing/2014/main" id="{8B8B62ED-9D6C-4DCE-BBB5-4CD983BED6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55399" y="1990724"/>
          <a:ext cx="1585540" cy="1248613"/>
        </a:xfrm>
        <a:prstGeom prst="rect">
          <a:avLst/>
        </a:prstGeom>
      </xdr:spPr>
    </xdr:pic>
    <xdr:clientData/>
  </xdr:twoCellAnchor>
  <xdr:twoCellAnchor editAs="oneCell">
    <xdr:from>
      <xdr:col>22</xdr:col>
      <xdr:colOff>171450</xdr:colOff>
      <xdr:row>7</xdr:row>
      <xdr:rowOff>133350</xdr:rowOff>
    </xdr:from>
    <xdr:to>
      <xdr:col>23</xdr:col>
      <xdr:colOff>437092</xdr:colOff>
      <xdr:row>14</xdr:row>
      <xdr:rowOff>66675</xdr:rowOff>
    </xdr:to>
    <xdr:pic macro="[0]!abrirForm">
      <xdr:nvPicPr>
        <xdr:cNvPr id="7" name="Imagem 6">
          <a:extLst>
            <a:ext uri="{FF2B5EF4-FFF2-40B4-BE49-F238E27FC236}">
              <a16:creationId xmlns:a16="http://schemas.microsoft.com/office/drawing/2014/main" id="{1E1593F0-2F4A-C818-FBDA-E47C37866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20825" y="1962150"/>
          <a:ext cx="1608667" cy="1266825"/>
        </a:xfrm>
        <a:prstGeom prst="rect">
          <a:avLst/>
        </a:prstGeom>
      </xdr:spPr>
    </xdr:pic>
    <xdr:clientData/>
  </xdr:twoCellAnchor>
  <xdr:twoCellAnchor editAs="oneCell">
    <xdr:from>
      <xdr:col>21</xdr:col>
      <xdr:colOff>657226</xdr:colOff>
      <xdr:row>14</xdr:row>
      <xdr:rowOff>28576</xdr:rowOff>
    </xdr:from>
    <xdr:to>
      <xdr:col>22</xdr:col>
      <xdr:colOff>1000125</xdr:colOff>
      <xdr:row>20</xdr:row>
      <xdr:rowOff>138232</xdr:rowOff>
    </xdr:to>
    <xdr:pic macro="[0]!abrirForm2">
      <xdr:nvPicPr>
        <xdr:cNvPr id="13" name="Imagem 12">
          <a:extLst>
            <a:ext uri="{FF2B5EF4-FFF2-40B4-BE49-F238E27FC236}">
              <a16:creationId xmlns:a16="http://schemas.microsoft.com/office/drawing/2014/main" id="{8768A0DC-9FD2-FCFA-797A-9FC6E958A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6" y="3190876"/>
          <a:ext cx="1590674" cy="1252656"/>
        </a:xfrm>
        <a:prstGeom prst="rect">
          <a:avLst/>
        </a:prstGeom>
      </xdr:spPr>
    </xdr:pic>
    <xdr:clientData/>
  </xdr:twoCellAnchor>
  <xdr:twoCellAnchor editAs="oneCell">
    <xdr:from>
      <xdr:col>20</xdr:col>
      <xdr:colOff>428625</xdr:colOff>
      <xdr:row>23</xdr:row>
      <xdr:rowOff>104775</xdr:rowOff>
    </xdr:from>
    <xdr:to>
      <xdr:col>21</xdr:col>
      <xdr:colOff>1190625</xdr:colOff>
      <xdr:row>30</xdr:row>
      <xdr:rowOff>142875</xdr:rowOff>
    </xdr:to>
    <xdr:pic macro="[0]!abrirFormPDF">
      <xdr:nvPicPr>
        <xdr:cNvPr id="5" name="Imagem 4">
          <a:extLst>
            <a:ext uri="{FF2B5EF4-FFF2-40B4-BE49-F238E27FC236}">
              <a16:creationId xmlns:a16="http://schemas.microsoft.com/office/drawing/2014/main" id="{565DE57D-D166-C7EB-9DAB-A5CFF1BC4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20625" y="4991100"/>
          <a:ext cx="1371600" cy="1371600"/>
        </a:xfrm>
        <a:prstGeom prst="rect">
          <a:avLst/>
        </a:prstGeom>
      </xdr:spPr>
    </xdr:pic>
    <xdr:clientData/>
  </xdr:twoCellAnchor>
  <xdr:twoCellAnchor editAs="oneCell">
    <xdr:from>
      <xdr:col>21</xdr:col>
      <xdr:colOff>1104901</xdr:colOff>
      <xdr:row>24</xdr:row>
      <xdr:rowOff>104776</xdr:rowOff>
    </xdr:from>
    <xdr:to>
      <xdr:col>22</xdr:col>
      <xdr:colOff>838200</xdr:colOff>
      <xdr:row>29</xdr:row>
      <xdr:rowOff>133350</xdr:rowOff>
    </xdr:to>
    <xdr:pic macro="[0]!abrirFormWav">
      <xdr:nvPicPr>
        <xdr:cNvPr id="6" name="Imagem 5">
          <a:extLst>
            <a:ext uri="{FF2B5EF4-FFF2-40B4-BE49-F238E27FC236}">
              <a16:creationId xmlns:a16="http://schemas.microsoft.com/office/drawing/2014/main" id="{3F6633F3-A897-8BB0-7C66-409FFF92C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06501" y="5181601"/>
          <a:ext cx="981074" cy="981074"/>
        </a:xfrm>
        <a:prstGeom prst="rect">
          <a:avLst/>
        </a:prstGeom>
      </xdr:spPr>
    </xdr:pic>
    <xdr:clientData/>
  </xdr:twoCellAnchor>
  <xdr:twoCellAnchor editAs="oneCell">
    <xdr:from>
      <xdr:col>22</xdr:col>
      <xdr:colOff>933451</xdr:colOff>
      <xdr:row>24</xdr:row>
      <xdr:rowOff>104776</xdr:rowOff>
    </xdr:from>
    <xdr:to>
      <xdr:col>24</xdr:col>
      <xdr:colOff>85726</xdr:colOff>
      <xdr:row>29</xdr:row>
      <xdr:rowOff>142876</xdr:rowOff>
    </xdr:to>
    <xdr:pic macro="[0]!ReproduzirAudio">
      <xdr:nvPicPr>
        <xdr:cNvPr id="8" name="Imagem 7">
          <a:extLst>
            <a:ext uri="{FF2B5EF4-FFF2-40B4-BE49-F238E27FC236}">
              <a16:creationId xmlns:a16="http://schemas.microsoft.com/office/drawing/2014/main" id="{266675AC-48AA-1E56-311C-D3A0AADE0C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82826" y="5181601"/>
          <a:ext cx="990600" cy="990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615799</xdr:colOff>
      <xdr:row>23</xdr:row>
      <xdr:rowOff>152399</xdr:rowOff>
    </xdr:from>
    <xdr:to>
      <xdr:col>3</xdr:col>
      <xdr:colOff>343964</xdr:colOff>
      <xdr:row>30</xdr:row>
      <xdr:rowOff>67512</xdr:rowOff>
    </xdr:to>
    <xdr:pic macro="[0]!AtualizarTEmTempoRealComparadorDeOndas">
      <xdr:nvPicPr>
        <xdr:cNvPr id="3" name="Imagem 2">
          <a:extLst>
            <a:ext uri="{FF2B5EF4-FFF2-40B4-BE49-F238E27FC236}">
              <a16:creationId xmlns:a16="http://schemas.microsoft.com/office/drawing/2014/main" id="{FDE310CE-0041-49E2-82E1-8798B9B65A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799" y="4914899"/>
          <a:ext cx="1585540" cy="1248613"/>
        </a:xfrm>
        <a:prstGeom prst="rect">
          <a:avLst/>
        </a:prstGeom>
      </xdr:spPr>
    </xdr:pic>
    <xdr:clientData/>
  </xdr:twoCellAnchor>
  <xdr:twoCellAnchor>
    <xdr:from>
      <xdr:col>4</xdr:col>
      <xdr:colOff>600075</xdr:colOff>
      <xdr:row>0</xdr:row>
      <xdr:rowOff>14286</xdr:rowOff>
    </xdr:from>
    <xdr:to>
      <xdr:col>20</xdr:col>
      <xdr:colOff>9525</xdr:colOff>
      <xdr:row>32</xdr:row>
      <xdr:rowOff>171449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170729C-4749-36C2-25D7-1BF2228969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5C995-1170-4B33-B66D-40449B25975B}">
  <sheetPr codeName="Planilha1"/>
  <dimension ref="A1:AC104"/>
  <sheetViews>
    <sheetView workbookViewId="0">
      <selection activeCell="B17" sqref="B17"/>
    </sheetView>
  </sheetViews>
  <sheetFormatPr defaultRowHeight="15" x14ac:dyDescent="0.25"/>
  <cols>
    <col min="1" max="3" width="9.28515625" style="2" customWidth="1"/>
    <col min="22" max="22" width="10.85546875" customWidth="1"/>
    <col min="23" max="23" width="16.28515625" bestFit="1" customWidth="1"/>
    <col min="24" max="24" width="7.42578125" bestFit="1" customWidth="1"/>
    <col min="25" max="25" width="9.85546875" bestFit="1" customWidth="1"/>
  </cols>
  <sheetData>
    <row r="1" spans="1:29" ht="20.25" x14ac:dyDescent="0.25">
      <c r="A1" s="38" t="s">
        <v>1</v>
      </c>
      <c r="B1" s="38" t="s">
        <v>2</v>
      </c>
      <c r="C1" s="38" t="s">
        <v>3</v>
      </c>
      <c r="U1" s="15"/>
      <c r="V1" s="19" t="s">
        <v>4</v>
      </c>
      <c r="W1" s="20"/>
      <c r="X1" s="15"/>
      <c r="Y1" s="15"/>
      <c r="Z1" s="15"/>
      <c r="AA1" s="15"/>
      <c r="AB1" s="15"/>
      <c r="AC1" s="15"/>
    </row>
    <row r="2" spans="1:29" ht="23.25" x14ac:dyDescent="0.25">
      <c r="A2" s="37">
        <v>0</v>
      </c>
      <c r="B2" s="37">
        <f t="shared" ref="B2:B12" si="0">SIN(2*PI()*($W$2*C2-A2/$W$3))</f>
        <v>0.55557023301960218</v>
      </c>
      <c r="C2" s="39">
        <v>4.0625</v>
      </c>
      <c r="U2" s="15"/>
      <c r="V2" s="3" t="s">
        <v>5</v>
      </c>
      <c r="W2" s="4">
        <v>0.1</v>
      </c>
      <c r="X2" s="15"/>
      <c r="Y2" s="15"/>
      <c r="Z2" s="15"/>
      <c r="AA2" s="15"/>
      <c r="AB2" s="15"/>
      <c r="AC2" s="15"/>
    </row>
    <row r="3" spans="1:29" ht="23.25" x14ac:dyDescent="0.25">
      <c r="A3" s="37">
        <f>$W$3/10</f>
        <v>0.1</v>
      </c>
      <c r="B3" s="37">
        <f t="shared" si="0"/>
        <v>0.93819133592248405</v>
      </c>
      <c r="C3" s="39">
        <v>4.0625</v>
      </c>
      <c r="U3" s="15"/>
      <c r="V3" s="8" t="s">
        <v>6</v>
      </c>
      <c r="W3" s="5">
        <v>1</v>
      </c>
      <c r="X3" s="15"/>
      <c r="Y3" s="15"/>
      <c r="Z3" s="15"/>
      <c r="AA3" s="15"/>
      <c r="AB3" s="15"/>
      <c r="AC3" s="15"/>
    </row>
    <row r="4" spans="1:29" ht="23.25" x14ac:dyDescent="0.25">
      <c r="A4" s="37">
        <f>A3+$A$3</f>
        <v>0.2</v>
      </c>
      <c r="B4" s="37">
        <f t="shared" si="0"/>
        <v>0.96245523645364728</v>
      </c>
      <c r="C4" s="39">
        <v>4.0625</v>
      </c>
      <c r="U4" s="15"/>
      <c r="V4" s="3" t="s">
        <v>7</v>
      </c>
      <c r="W4" s="6">
        <v>4</v>
      </c>
      <c r="X4" s="15"/>
      <c r="Y4" s="15"/>
      <c r="Z4" s="15"/>
      <c r="AA4" s="15"/>
      <c r="AB4" s="15"/>
      <c r="AC4" s="15"/>
    </row>
    <row r="5" spans="1:29" x14ac:dyDescent="0.25">
      <c r="A5" s="37">
        <f t="shared" ref="A5:A22" si="1">A4+$A$3</f>
        <v>0.30000000000000004</v>
      </c>
      <c r="B5" s="37">
        <f t="shared" si="0"/>
        <v>0.61909394930983375</v>
      </c>
      <c r="C5" s="39">
        <v>4.0625</v>
      </c>
      <c r="U5" s="15"/>
      <c r="V5" s="15"/>
      <c r="W5" s="15"/>
      <c r="X5" s="15"/>
      <c r="Y5" s="15"/>
      <c r="Z5" s="15"/>
      <c r="AA5" s="15"/>
      <c r="AB5" s="15"/>
      <c r="AC5" s="15"/>
    </row>
    <row r="6" spans="1:29" x14ac:dyDescent="0.25">
      <c r="A6" s="37">
        <f t="shared" si="1"/>
        <v>0.4</v>
      </c>
      <c r="B6" s="37">
        <f t="shared" si="0"/>
        <v>3.9259815759068471E-2</v>
      </c>
      <c r="C6" s="39">
        <v>4.0625</v>
      </c>
      <c r="U6" s="15"/>
      <c r="V6" s="15"/>
      <c r="W6" s="15"/>
      <c r="X6" s="15"/>
      <c r="Y6" s="15"/>
      <c r="Z6" s="15"/>
      <c r="AA6" s="15"/>
      <c r="AB6" s="15"/>
      <c r="AC6" s="15"/>
    </row>
    <row r="7" spans="1:29" x14ac:dyDescent="0.25">
      <c r="A7" s="37">
        <f t="shared" si="1"/>
        <v>0.5</v>
      </c>
      <c r="B7" s="37">
        <f t="shared" si="0"/>
        <v>-0.55557023301960218</v>
      </c>
      <c r="C7" s="39">
        <v>4.0625</v>
      </c>
      <c r="U7" s="15"/>
      <c r="V7" s="15"/>
      <c r="W7" s="15"/>
      <c r="X7" s="15"/>
      <c r="Y7" s="15"/>
      <c r="Z7" s="15"/>
      <c r="AA7" s="15"/>
      <c r="AB7" s="15"/>
      <c r="AC7" s="15"/>
    </row>
    <row r="8" spans="1:29" x14ac:dyDescent="0.25">
      <c r="A8" s="37">
        <f t="shared" si="1"/>
        <v>0.6</v>
      </c>
      <c r="B8" s="37">
        <f t="shared" si="0"/>
        <v>-0.93819133592248405</v>
      </c>
      <c r="C8" s="39">
        <v>4.0625</v>
      </c>
      <c r="U8" s="15"/>
      <c r="V8" s="15"/>
      <c r="W8" s="15"/>
      <c r="X8" s="15"/>
      <c r="Y8" s="15"/>
      <c r="Z8" s="15"/>
      <c r="AA8" s="15"/>
      <c r="AB8" s="15"/>
      <c r="AC8" s="15"/>
    </row>
    <row r="9" spans="1:29" x14ac:dyDescent="0.25">
      <c r="A9" s="37">
        <f t="shared" si="1"/>
        <v>0.7</v>
      </c>
      <c r="B9" s="37">
        <f t="shared" si="0"/>
        <v>-0.96245523645364739</v>
      </c>
      <c r="C9" s="39">
        <v>4.0625</v>
      </c>
      <c r="U9" s="15"/>
      <c r="V9" s="15"/>
      <c r="W9" s="15"/>
      <c r="X9" s="15"/>
      <c r="Y9" s="15"/>
      <c r="Z9" s="15"/>
      <c r="AA9" s="15"/>
      <c r="AB9" s="15"/>
      <c r="AC9" s="15"/>
    </row>
    <row r="10" spans="1:29" x14ac:dyDescent="0.25">
      <c r="A10" s="37">
        <f t="shared" si="1"/>
        <v>0.79999999999999993</v>
      </c>
      <c r="B10" s="37">
        <f t="shared" si="0"/>
        <v>-0.61909394930983419</v>
      </c>
      <c r="C10" s="39">
        <v>4.0625</v>
      </c>
      <c r="U10" s="15"/>
      <c r="V10" s="15"/>
      <c r="W10" s="15"/>
      <c r="X10" s="15"/>
      <c r="Y10" s="15"/>
      <c r="Z10" s="15"/>
      <c r="AA10" s="15"/>
      <c r="AB10" s="15"/>
      <c r="AC10" s="15"/>
    </row>
    <row r="11" spans="1:29" x14ac:dyDescent="0.25">
      <c r="A11" s="37">
        <f t="shared" si="1"/>
        <v>0.89999999999999991</v>
      </c>
      <c r="B11" s="37">
        <f t="shared" si="0"/>
        <v>-3.9259815759069394E-2</v>
      </c>
      <c r="C11" s="39">
        <v>4.0625</v>
      </c>
      <c r="U11" s="15"/>
      <c r="V11" s="15"/>
      <c r="W11" s="15"/>
      <c r="X11" s="15"/>
      <c r="Y11" s="15"/>
      <c r="Z11" s="15"/>
      <c r="AA11" s="15"/>
      <c r="AB11" s="15"/>
      <c r="AC11" s="15"/>
    </row>
    <row r="12" spans="1:29" x14ac:dyDescent="0.25">
      <c r="A12" s="37">
        <f t="shared" si="1"/>
        <v>0.99999999999999989</v>
      </c>
      <c r="B12" s="37">
        <f t="shared" si="0"/>
        <v>0.55557023301960151</v>
      </c>
      <c r="C12" s="39">
        <v>4.0625</v>
      </c>
      <c r="U12" s="15"/>
      <c r="V12" s="15"/>
      <c r="W12" s="15"/>
      <c r="X12" s="15"/>
      <c r="Y12" s="15"/>
      <c r="Z12" s="15"/>
      <c r="AA12" s="15"/>
      <c r="AB12" s="15"/>
      <c r="AC12" s="15"/>
    </row>
    <row r="13" spans="1:29" x14ac:dyDescent="0.25">
      <c r="A13" s="37">
        <f t="shared" si="1"/>
        <v>1.0999999999999999</v>
      </c>
      <c r="B13" s="37">
        <f t="shared" ref="B13:B22" si="2">SIN(2*PI()*($W$2*C13-A13/$W$3))</f>
        <v>0.93819133592248372</v>
      </c>
      <c r="C13" s="39">
        <v>4.0625</v>
      </c>
      <c r="U13" s="15"/>
      <c r="V13" s="15"/>
      <c r="W13" s="15"/>
      <c r="X13" s="15"/>
      <c r="Y13" s="15"/>
      <c r="Z13" s="15"/>
      <c r="AA13" s="15"/>
      <c r="AB13" s="15"/>
      <c r="AC13" s="15"/>
    </row>
    <row r="14" spans="1:29" x14ac:dyDescent="0.25">
      <c r="A14" s="37">
        <f t="shared" si="1"/>
        <v>1.2</v>
      </c>
      <c r="B14" s="37">
        <f t="shared" si="2"/>
        <v>0.96245523645364739</v>
      </c>
      <c r="C14" s="39">
        <v>4.0625</v>
      </c>
      <c r="U14" s="15"/>
      <c r="V14" s="15"/>
      <c r="W14" s="15"/>
      <c r="X14" s="15"/>
      <c r="Y14" s="15"/>
      <c r="Z14" s="15"/>
      <c r="AA14" s="15"/>
      <c r="AB14" s="15"/>
      <c r="AC14" s="15"/>
    </row>
    <row r="15" spans="1:29" x14ac:dyDescent="0.25">
      <c r="A15" s="37">
        <f t="shared" si="1"/>
        <v>1.3</v>
      </c>
      <c r="B15" s="37">
        <f t="shared" si="2"/>
        <v>0.61909394930983364</v>
      </c>
      <c r="C15" s="39">
        <v>4.0625</v>
      </c>
      <c r="U15" s="15"/>
      <c r="V15" s="15"/>
      <c r="W15" s="15"/>
      <c r="X15" s="15"/>
      <c r="Y15" s="15"/>
      <c r="Z15" s="15"/>
      <c r="AA15" s="15"/>
      <c r="AB15" s="15"/>
      <c r="AC15" s="15"/>
    </row>
    <row r="16" spans="1:29" x14ac:dyDescent="0.25">
      <c r="A16" s="37">
        <f t="shared" si="1"/>
        <v>1.4000000000000001</v>
      </c>
      <c r="B16" s="37">
        <f t="shared" si="2"/>
        <v>3.9259815759068187E-2</v>
      </c>
      <c r="C16" s="39">
        <v>4.0625</v>
      </c>
      <c r="U16" s="15"/>
      <c r="V16" s="15"/>
      <c r="W16" s="15"/>
      <c r="X16" s="15"/>
      <c r="Y16" s="15"/>
      <c r="Z16" s="15"/>
      <c r="AA16" s="15"/>
      <c r="AB16" s="15"/>
      <c r="AC16" s="15"/>
    </row>
    <row r="17" spans="1:29" x14ac:dyDescent="0.25">
      <c r="A17" s="37">
        <f t="shared" si="1"/>
        <v>1.5000000000000002</v>
      </c>
      <c r="B17" s="37">
        <f t="shared" si="2"/>
        <v>-0.55557023301960329</v>
      </c>
      <c r="C17" s="39">
        <v>4.0625</v>
      </c>
      <c r="U17" s="15"/>
      <c r="V17" s="15"/>
      <c r="W17" s="15"/>
      <c r="X17" s="15"/>
      <c r="Y17" s="15"/>
      <c r="Z17" s="15"/>
      <c r="AA17" s="15"/>
      <c r="AB17" s="15"/>
      <c r="AC17" s="15"/>
    </row>
    <row r="18" spans="1:29" x14ac:dyDescent="0.25">
      <c r="A18" s="37">
        <f t="shared" si="1"/>
        <v>1.6000000000000003</v>
      </c>
      <c r="B18" s="37">
        <f t="shared" si="2"/>
        <v>-0.9381913359224846</v>
      </c>
      <c r="C18" s="39">
        <v>4.0625</v>
      </c>
      <c r="U18" s="15"/>
      <c r="V18" s="15"/>
      <c r="W18" s="15"/>
      <c r="X18" s="15"/>
      <c r="Y18" s="15"/>
      <c r="Z18" s="15"/>
      <c r="AA18" s="15"/>
      <c r="AB18" s="15"/>
      <c r="AC18" s="15"/>
    </row>
    <row r="19" spans="1:29" x14ac:dyDescent="0.25">
      <c r="A19" s="37">
        <f t="shared" si="1"/>
        <v>1.7000000000000004</v>
      </c>
      <c r="B19" s="37">
        <f t="shared" si="2"/>
        <v>-0.9624552364536465</v>
      </c>
      <c r="C19" s="39">
        <v>4.0625</v>
      </c>
      <c r="U19" s="15"/>
      <c r="V19" s="15"/>
      <c r="W19" s="15"/>
      <c r="X19" s="15"/>
      <c r="Y19" s="15"/>
      <c r="Z19" s="15"/>
      <c r="AA19" s="15"/>
      <c r="AB19" s="15"/>
      <c r="AC19" s="15"/>
    </row>
    <row r="20" spans="1:29" x14ac:dyDescent="0.25">
      <c r="A20" s="37">
        <f t="shared" si="1"/>
        <v>1.8000000000000005</v>
      </c>
      <c r="B20" s="37">
        <f t="shared" si="2"/>
        <v>-0.61909394930983164</v>
      </c>
      <c r="C20" s="39">
        <v>4.0625</v>
      </c>
      <c r="U20" s="15"/>
      <c r="V20" s="15"/>
      <c r="W20" s="15"/>
      <c r="X20" s="15"/>
      <c r="Y20" s="15"/>
      <c r="Z20" s="15"/>
      <c r="AA20" s="15"/>
      <c r="AB20" s="15"/>
      <c r="AC20" s="15"/>
    </row>
    <row r="21" spans="1:29" x14ac:dyDescent="0.25">
      <c r="A21" s="37">
        <f t="shared" si="1"/>
        <v>1.9000000000000006</v>
      </c>
      <c r="B21" s="37">
        <f t="shared" si="2"/>
        <v>-3.9259815759065647E-2</v>
      </c>
      <c r="C21" s="39">
        <v>4.0625</v>
      </c>
      <c r="U21" s="15"/>
      <c r="V21" s="15"/>
      <c r="W21" s="15"/>
      <c r="X21" s="15"/>
      <c r="Y21" s="15"/>
      <c r="Z21" s="15"/>
      <c r="AA21" s="15"/>
      <c r="AB21" s="15"/>
      <c r="AC21" s="15"/>
    </row>
    <row r="22" spans="1:29" x14ac:dyDescent="0.25">
      <c r="A22" s="37">
        <f t="shared" si="1"/>
        <v>2.0000000000000004</v>
      </c>
      <c r="B22" s="37">
        <f t="shared" si="2"/>
        <v>0.55557023301960462</v>
      </c>
      <c r="C22" s="39">
        <v>4.0625</v>
      </c>
      <c r="U22" s="15"/>
      <c r="V22" s="15"/>
      <c r="W22" s="15"/>
      <c r="X22" s="15"/>
      <c r="Y22" s="15"/>
      <c r="Z22" s="15"/>
      <c r="AA22" s="15"/>
      <c r="AB22" s="15"/>
      <c r="AC22" s="15"/>
    </row>
    <row r="23" spans="1:29" x14ac:dyDescent="0.25">
      <c r="A23" s="18"/>
      <c r="B23" s="18"/>
      <c r="C23" s="18"/>
      <c r="U23" s="15"/>
      <c r="V23" s="15"/>
      <c r="W23" s="15"/>
      <c r="X23" s="15"/>
      <c r="Y23" s="15"/>
      <c r="Z23" s="15"/>
      <c r="AA23" s="15"/>
      <c r="AB23" s="15"/>
      <c r="AC23" s="15"/>
    </row>
    <row r="24" spans="1:29" x14ac:dyDescent="0.25">
      <c r="A24" s="18"/>
      <c r="B24" s="18"/>
      <c r="C24" s="7"/>
      <c r="U24" s="15"/>
      <c r="V24" s="15"/>
      <c r="W24" s="15"/>
      <c r="X24" s="15"/>
      <c r="Y24" s="15"/>
      <c r="Z24" s="15"/>
      <c r="AA24" s="15"/>
      <c r="AB24" s="15"/>
      <c r="AC24" s="15"/>
    </row>
    <row r="25" spans="1:29" x14ac:dyDescent="0.25">
      <c r="A25" s="1"/>
      <c r="B25" s="1"/>
      <c r="C25" s="1"/>
      <c r="U25" s="15"/>
      <c r="V25" s="15"/>
      <c r="W25" s="15"/>
      <c r="X25" s="15"/>
      <c r="Y25" s="15"/>
      <c r="Z25" s="15"/>
      <c r="AA25" s="15"/>
      <c r="AB25" s="15"/>
      <c r="AC25" s="15"/>
    </row>
    <row r="26" spans="1:29" x14ac:dyDescent="0.25">
      <c r="A26" s="1"/>
      <c r="B26" s="1"/>
      <c r="C26" s="1"/>
      <c r="U26" s="15"/>
      <c r="V26" s="15"/>
      <c r="W26" s="15"/>
      <c r="X26" s="15"/>
      <c r="Y26" s="15"/>
      <c r="Z26" s="15"/>
      <c r="AA26" s="15"/>
      <c r="AB26" s="15"/>
      <c r="AC26" s="15"/>
    </row>
    <row r="27" spans="1:29" x14ac:dyDescent="0.25">
      <c r="A27" s="1"/>
      <c r="B27" s="1"/>
      <c r="C27" s="1"/>
      <c r="U27" s="15"/>
      <c r="V27" s="15"/>
      <c r="W27" s="15"/>
      <c r="X27" s="15"/>
      <c r="Y27" s="15"/>
      <c r="Z27" s="15"/>
      <c r="AA27" s="15"/>
      <c r="AB27" s="15"/>
      <c r="AC27" s="15"/>
    </row>
    <row r="28" spans="1:29" x14ac:dyDescent="0.25">
      <c r="A28" s="1"/>
      <c r="B28" s="1"/>
      <c r="C28" s="1"/>
      <c r="U28" s="15"/>
      <c r="V28" s="15"/>
      <c r="W28" s="15"/>
      <c r="X28" s="15"/>
      <c r="Y28" s="15"/>
      <c r="Z28" s="15"/>
      <c r="AA28" s="15"/>
      <c r="AB28" s="15"/>
      <c r="AC28" s="15"/>
    </row>
    <row r="29" spans="1:29" x14ac:dyDescent="0.25">
      <c r="A29" s="1"/>
      <c r="B29" s="1"/>
      <c r="C29" s="1"/>
      <c r="U29" s="15"/>
      <c r="V29" s="15"/>
      <c r="W29" s="15"/>
      <c r="X29" s="15"/>
      <c r="Y29" s="15"/>
      <c r="Z29" s="15"/>
      <c r="AA29" s="15"/>
      <c r="AB29" s="15"/>
      <c r="AC29" s="15"/>
    </row>
    <row r="30" spans="1:29" x14ac:dyDescent="0.25">
      <c r="A30" s="1"/>
      <c r="B30" s="1"/>
      <c r="C30" s="1"/>
      <c r="U30" s="15"/>
      <c r="V30" s="15"/>
      <c r="W30" s="15"/>
      <c r="X30" s="15"/>
      <c r="Y30" s="15"/>
      <c r="Z30" s="15"/>
      <c r="AA30" s="15"/>
      <c r="AB30" s="15"/>
      <c r="AC30" s="15"/>
    </row>
    <row r="31" spans="1:29" x14ac:dyDescent="0.25">
      <c r="A31" s="1"/>
      <c r="B31" s="1"/>
      <c r="C31" s="1"/>
      <c r="U31" s="15"/>
      <c r="V31" s="15"/>
      <c r="W31" s="15"/>
      <c r="X31" s="15"/>
      <c r="Y31" s="15"/>
      <c r="Z31" s="15"/>
      <c r="AA31" s="15"/>
      <c r="AB31" s="15"/>
      <c r="AC31" s="15"/>
    </row>
    <row r="32" spans="1:29" x14ac:dyDescent="0.25">
      <c r="A32" s="1"/>
      <c r="B32" s="1"/>
      <c r="C32" s="1"/>
      <c r="U32" s="15"/>
      <c r="V32" s="15"/>
      <c r="W32" s="15"/>
      <c r="X32" s="15"/>
      <c r="Y32" s="15"/>
      <c r="Z32" s="15"/>
      <c r="AA32" s="15"/>
      <c r="AB32" s="15"/>
      <c r="AC32" s="15"/>
    </row>
    <row r="33" spans="1:29" x14ac:dyDescent="0.25">
      <c r="A33" s="1"/>
      <c r="B33" s="1"/>
      <c r="C33" s="1"/>
      <c r="U33" s="15"/>
      <c r="V33" s="15"/>
      <c r="W33" s="15"/>
      <c r="X33" s="15"/>
      <c r="Y33" s="15"/>
      <c r="Z33" s="15"/>
      <c r="AA33" s="15"/>
      <c r="AB33" s="15"/>
      <c r="AC33" s="15"/>
    </row>
    <row r="34" spans="1:29" x14ac:dyDescent="0.25">
      <c r="A34" s="1"/>
      <c r="B34" s="1"/>
      <c r="C34" s="1"/>
      <c r="U34" s="15"/>
      <c r="V34" s="15"/>
      <c r="W34" s="15"/>
      <c r="X34" s="15"/>
      <c r="Y34" s="15"/>
      <c r="Z34" s="15"/>
      <c r="AA34" s="15"/>
      <c r="AB34" s="15"/>
      <c r="AC34" s="15"/>
    </row>
    <row r="35" spans="1:29" x14ac:dyDescent="0.25">
      <c r="A35" s="1"/>
      <c r="B35" s="1"/>
      <c r="C35" s="1"/>
    </row>
    <row r="36" spans="1:29" x14ac:dyDescent="0.25">
      <c r="A36" s="1"/>
      <c r="B36" s="1"/>
      <c r="C36" s="1"/>
    </row>
    <row r="37" spans="1:29" x14ac:dyDescent="0.25">
      <c r="A37" s="1"/>
      <c r="B37" s="1"/>
      <c r="C37" s="1"/>
    </row>
    <row r="38" spans="1:29" x14ac:dyDescent="0.25">
      <c r="A38" s="1"/>
      <c r="B38" s="1"/>
      <c r="C38" s="1"/>
    </row>
    <row r="39" spans="1:29" x14ac:dyDescent="0.25">
      <c r="A39" s="1"/>
      <c r="B39" s="1"/>
      <c r="C39" s="1"/>
    </row>
    <row r="40" spans="1:29" x14ac:dyDescent="0.25">
      <c r="A40" s="1"/>
      <c r="B40" s="1"/>
      <c r="C40" s="1"/>
    </row>
    <row r="41" spans="1:29" x14ac:dyDescent="0.25">
      <c r="A41" s="1"/>
      <c r="B41" s="1"/>
      <c r="C41" s="1"/>
    </row>
    <row r="42" spans="1:29" x14ac:dyDescent="0.25">
      <c r="A42" s="1"/>
      <c r="B42" s="1"/>
      <c r="C42" s="1"/>
    </row>
    <row r="43" spans="1:29" x14ac:dyDescent="0.25">
      <c r="A43" s="1"/>
      <c r="B43" s="1"/>
      <c r="C43" s="1"/>
    </row>
    <row r="44" spans="1:29" x14ac:dyDescent="0.25">
      <c r="A44" s="1"/>
      <c r="B44" s="1"/>
      <c r="C44" s="1"/>
    </row>
    <row r="45" spans="1:29" x14ac:dyDescent="0.25">
      <c r="A45" s="1"/>
      <c r="B45" s="1"/>
      <c r="C45" s="1"/>
    </row>
    <row r="46" spans="1:29" x14ac:dyDescent="0.25">
      <c r="A46" s="1"/>
      <c r="B46" s="1"/>
      <c r="C46" s="1"/>
    </row>
    <row r="47" spans="1:29" x14ac:dyDescent="0.25">
      <c r="A47" s="1"/>
      <c r="B47" s="1"/>
      <c r="C47" s="1"/>
    </row>
    <row r="48" spans="1:29" x14ac:dyDescent="0.25">
      <c r="A48" s="1"/>
      <c r="B48" s="1"/>
      <c r="C48" s="1"/>
    </row>
    <row r="49" spans="1:3" x14ac:dyDescent="0.25">
      <c r="A49" s="1"/>
      <c r="B49" s="1"/>
      <c r="C49" s="1"/>
    </row>
    <row r="50" spans="1:3" x14ac:dyDescent="0.25">
      <c r="A50" s="1"/>
      <c r="B50" s="1"/>
      <c r="C50" s="1"/>
    </row>
    <row r="51" spans="1:3" x14ac:dyDescent="0.25">
      <c r="A51" s="1"/>
      <c r="B51" s="1"/>
      <c r="C51" s="1"/>
    </row>
    <row r="52" spans="1:3" x14ac:dyDescent="0.25">
      <c r="A52" s="1"/>
      <c r="B52" s="1"/>
      <c r="C52" s="1"/>
    </row>
    <row r="53" spans="1:3" x14ac:dyDescent="0.25">
      <c r="A53" s="1"/>
      <c r="B53" s="1"/>
      <c r="C53" s="1"/>
    </row>
    <row r="54" spans="1:3" x14ac:dyDescent="0.25">
      <c r="A54" s="1"/>
      <c r="B54" s="1"/>
      <c r="C54" s="1"/>
    </row>
    <row r="55" spans="1:3" x14ac:dyDescent="0.25">
      <c r="A55" s="1"/>
      <c r="B55" s="1"/>
      <c r="C55" s="1"/>
    </row>
    <row r="56" spans="1:3" x14ac:dyDescent="0.25">
      <c r="A56" s="1"/>
      <c r="B56" s="1"/>
      <c r="C56" s="1"/>
    </row>
    <row r="57" spans="1:3" x14ac:dyDescent="0.25">
      <c r="A57" s="1"/>
      <c r="B57" s="1"/>
      <c r="C57" s="1"/>
    </row>
    <row r="58" spans="1:3" x14ac:dyDescent="0.25">
      <c r="A58" s="1"/>
      <c r="B58" s="1"/>
      <c r="C58" s="1"/>
    </row>
    <row r="59" spans="1:3" x14ac:dyDescent="0.25">
      <c r="A59" s="1"/>
      <c r="B59" s="1"/>
      <c r="C59" s="1"/>
    </row>
    <row r="60" spans="1:3" x14ac:dyDescent="0.25">
      <c r="A60" s="1"/>
      <c r="B60" s="1"/>
      <c r="C60" s="1"/>
    </row>
    <row r="61" spans="1:3" x14ac:dyDescent="0.25">
      <c r="A61" s="1"/>
      <c r="B61" s="1"/>
      <c r="C61" s="1"/>
    </row>
    <row r="62" spans="1:3" x14ac:dyDescent="0.25">
      <c r="A62" s="1"/>
      <c r="B62" s="1"/>
      <c r="C62" s="1"/>
    </row>
    <row r="63" spans="1:3" x14ac:dyDescent="0.25">
      <c r="A63" s="1"/>
      <c r="B63" s="1"/>
      <c r="C63" s="1"/>
    </row>
    <row r="64" spans="1:3" x14ac:dyDescent="0.25">
      <c r="A64" s="1"/>
      <c r="B64" s="1"/>
      <c r="C64" s="1"/>
    </row>
    <row r="65" spans="1:3" x14ac:dyDescent="0.25">
      <c r="A65" s="1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1"/>
      <c r="B68" s="1"/>
      <c r="C68" s="1"/>
    </row>
    <row r="69" spans="1:3" x14ac:dyDescent="0.25">
      <c r="A69" s="1"/>
      <c r="B69" s="1"/>
      <c r="C69" s="1"/>
    </row>
    <row r="70" spans="1:3" x14ac:dyDescent="0.25">
      <c r="A70" s="1"/>
      <c r="B70" s="1"/>
      <c r="C70" s="1"/>
    </row>
    <row r="71" spans="1:3" x14ac:dyDescent="0.25">
      <c r="A71" s="1"/>
      <c r="B71" s="1"/>
      <c r="C71" s="1"/>
    </row>
    <row r="72" spans="1:3" x14ac:dyDescent="0.25">
      <c r="A72" s="1"/>
      <c r="B72" s="1"/>
      <c r="C72" s="1"/>
    </row>
    <row r="73" spans="1:3" x14ac:dyDescent="0.25">
      <c r="A73" s="1"/>
      <c r="B73" s="1"/>
      <c r="C73" s="1"/>
    </row>
    <row r="74" spans="1:3" x14ac:dyDescent="0.25">
      <c r="A74" s="1"/>
      <c r="B74" s="1"/>
      <c r="C74" s="1"/>
    </row>
    <row r="75" spans="1:3" x14ac:dyDescent="0.25">
      <c r="A75" s="1"/>
      <c r="B75" s="1"/>
      <c r="C75" s="1"/>
    </row>
    <row r="76" spans="1:3" x14ac:dyDescent="0.25">
      <c r="A76" s="1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1"/>
      <c r="B80" s="1"/>
      <c r="C80" s="1"/>
    </row>
    <row r="81" spans="1:3" x14ac:dyDescent="0.25">
      <c r="A81" s="1"/>
      <c r="B81" s="1"/>
      <c r="C81" s="1"/>
    </row>
    <row r="82" spans="1:3" x14ac:dyDescent="0.25">
      <c r="A82" s="1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  <row r="85" spans="1:3" x14ac:dyDescent="0.25">
      <c r="A85" s="1"/>
      <c r="B85" s="1"/>
      <c r="C85" s="1"/>
    </row>
    <row r="86" spans="1:3" x14ac:dyDescent="0.25">
      <c r="A86" s="1"/>
      <c r="B86" s="1"/>
      <c r="C86" s="1"/>
    </row>
    <row r="87" spans="1:3" x14ac:dyDescent="0.25">
      <c r="A87" s="1"/>
      <c r="B87" s="1"/>
      <c r="C87" s="1"/>
    </row>
    <row r="88" spans="1:3" x14ac:dyDescent="0.25">
      <c r="A88" s="1"/>
      <c r="B88" s="1"/>
      <c r="C88" s="1"/>
    </row>
    <row r="89" spans="1:3" x14ac:dyDescent="0.25">
      <c r="A89" s="1"/>
      <c r="B89" s="1"/>
      <c r="C89" s="1"/>
    </row>
    <row r="90" spans="1:3" x14ac:dyDescent="0.25">
      <c r="A90" s="1"/>
      <c r="B90" s="1"/>
      <c r="C90" s="1"/>
    </row>
    <row r="91" spans="1:3" x14ac:dyDescent="0.25">
      <c r="A91" s="1"/>
      <c r="B91" s="1"/>
      <c r="C91" s="1"/>
    </row>
    <row r="92" spans="1:3" x14ac:dyDescent="0.25">
      <c r="A92" s="1"/>
      <c r="B92" s="1"/>
      <c r="C92" s="1"/>
    </row>
    <row r="93" spans="1:3" x14ac:dyDescent="0.25">
      <c r="A93" s="1"/>
      <c r="B93" s="1"/>
      <c r="C93" s="1"/>
    </row>
    <row r="94" spans="1:3" x14ac:dyDescent="0.25">
      <c r="A94" s="1"/>
      <c r="B94" s="1"/>
      <c r="C94" s="1"/>
    </row>
    <row r="95" spans="1:3" x14ac:dyDescent="0.25">
      <c r="A95" s="1"/>
      <c r="B95" s="1"/>
      <c r="C95" s="1"/>
    </row>
    <row r="96" spans="1:3" x14ac:dyDescent="0.25">
      <c r="A96" s="1"/>
      <c r="B96" s="1"/>
      <c r="C96" s="1"/>
    </row>
    <row r="97" spans="1:3" x14ac:dyDescent="0.25">
      <c r="A97" s="1"/>
      <c r="B97" s="1"/>
      <c r="C97" s="1"/>
    </row>
    <row r="98" spans="1:3" x14ac:dyDescent="0.25">
      <c r="A98" s="1"/>
      <c r="B98" s="1"/>
      <c r="C98" s="1"/>
    </row>
    <row r="99" spans="1:3" x14ac:dyDescent="0.25">
      <c r="A99" s="1"/>
      <c r="B99" s="1"/>
      <c r="C99" s="1"/>
    </row>
    <row r="100" spans="1:3" x14ac:dyDescent="0.25">
      <c r="A100" s="1"/>
      <c r="B100" s="1"/>
      <c r="C100" s="1"/>
    </row>
    <row r="101" spans="1:3" x14ac:dyDescent="0.25">
      <c r="A101" s="1"/>
      <c r="B101" s="1"/>
      <c r="C101" s="1"/>
    </row>
    <row r="102" spans="1:3" x14ac:dyDescent="0.25">
      <c r="A102" s="1"/>
      <c r="B102" s="1"/>
      <c r="C102" s="1"/>
    </row>
    <row r="104" spans="1:3" x14ac:dyDescent="0.25">
      <c r="A104" s="1"/>
    </row>
  </sheetData>
  <mergeCells count="3">
    <mergeCell ref="A23:C23"/>
    <mergeCell ref="A24:B24"/>
    <mergeCell ref="V1:W1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F850B-42B6-4565-BA3D-63B5C25E2370}">
  <sheetPr codeName="Planilha2"/>
  <dimension ref="A1:AB104"/>
  <sheetViews>
    <sheetView workbookViewId="0">
      <selection activeCell="Y7" sqref="Y7"/>
    </sheetView>
  </sheetViews>
  <sheetFormatPr defaultRowHeight="15" x14ac:dyDescent="0.25"/>
  <cols>
    <col min="1" max="1" width="8.28515625" style="2" bestFit="1" customWidth="1"/>
    <col min="2" max="3" width="7.7109375" style="2" customWidth="1"/>
    <col min="22" max="22" width="18.7109375" customWidth="1"/>
    <col min="23" max="23" width="20.140625" bestFit="1" customWidth="1"/>
    <col min="24" max="24" width="7.42578125" bestFit="1" customWidth="1"/>
    <col min="25" max="25" width="9.85546875" bestFit="1" customWidth="1"/>
  </cols>
  <sheetData>
    <row r="1" spans="1:28" ht="20.25" x14ac:dyDescent="0.25">
      <c r="A1" s="38" t="s">
        <v>1</v>
      </c>
      <c r="B1" s="38" t="s">
        <v>2</v>
      </c>
      <c r="C1" s="38" t="s">
        <v>3</v>
      </c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9" t="s">
        <v>0</v>
      </c>
      <c r="W1" s="10">
        <v>29</v>
      </c>
      <c r="X1" s="15"/>
      <c r="Y1" s="15"/>
      <c r="Z1" s="15"/>
      <c r="AA1" s="15"/>
      <c r="AB1" s="15"/>
    </row>
    <row r="2" spans="1:28" ht="23.25" x14ac:dyDescent="0.25">
      <c r="A2" s="37">
        <v>0</v>
      </c>
      <c r="B2" s="37">
        <f>IFERROR(SIN(2*PI()*($W$2*C2-A2/$W$3)),0)</f>
        <v>0.42755509343027581</v>
      </c>
      <c r="C2" s="39">
        <v>5.0234375</v>
      </c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0" t="s">
        <v>5</v>
      </c>
      <c r="W2" s="11">
        <v>3</v>
      </c>
      <c r="X2" s="15"/>
      <c r="Y2" s="15"/>
      <c r="Z2" s="15"/>
      <c r="AA2" s="15"/>
      <c r="AB2" s="15"/>
    </row>
    <row r="3" spans="1:28" ht="23.25" x14ac:dyDescent="0.25">
      <c r="A3" s="37">
        <f>$W$3/10</f>
        <v>0.5</v>
      </c>
      <c r="B3" s="37">
        <f t="shared" ref="B3:B12" si="0">IFERROR(SIN(2*PI()*($W$2*C3-A3/$W$3)),0)</f>
        <v>-0.18545223811158729</v>
      </c>
      <c r="C3" s="39">
        <v>5.0234375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2" t="s">
        <v>6</v>
      </c>
      <c r="W3" s="13">
        <v>5</v>
      </c>
      <c r="X3" s="15"/>
      <c r="Y3" s="15"/>
      <c r="Z3" s="15"/>
      <c r="AA3" s="15"/>
      <c r="AB3" s="15"/>
    </row>
    <row r="4" spans="1:28" ht="23.25" x14ac:dyDescent="0.25">
      <c r="A4" s="37">
        <f>A3+$A$3</f>
        <v>1</v>
      </c>
      <c r="B4" s="37">
        <f t="shared" si="0"/>
        <v>-0.72762311798457469</v>
      </c>
      <c r="C4" s="39">
        <v>5.0234375</v>
      </c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0" t="s">
        <v>8</v>
      </c>
      <c r="W4" s="14">
        <v>5</v>
      </c>
      <c r="X4" s="15"/>
      <c r="Y4" s="15"/>
      <c r="Z4" s="15"/>
      <c r="AA4" s="15"/>
      <c r="AB4" s="15"/>
    </row>
    <row r="5" spans="1:28" ht="23.25" x14ac:dyDescent="0.25">
      <c r="A5" s="37">
        <f t="shared" ref="A5:A22" si="1">A4+$A$3</f>
        <v>1.5</v>
      </c>
      <c r="B5" s="37">
        <f t="shared" si="0"/>
        <v>-0.99186669778762648</v>
      </c>
      <c r="C5" s="39">
        <v>5.0234375</v>
      </c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0" t="s">
        <v>9</v>
      </c>
      <c r="W5" s="17">
        <v>15</v>
      </c>
      <c r="X5" s="15"/>
      <c r="Y5" s="15"/>
      <c r="Z5" s="15"/>
      <c r="AA5" s="15"/>
      <c r="AB5" s="15"/>
    </row>
    <row r="6" spans="1:28" x14ac:dyDescent="0.25">
      <c r="A6" s="37">
        <f t="shared" si="1"/>
        <v>2</v>
      </c>
      <c r="B6" s="37">
        <f t="shared" si="0"/>
        <v>-0.87725091134492095</v>
      </c>
      <c r="C6" s="39">
        <v>5.0234375</v>
      </c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</row>
    <row r="7" spans="1:28" x14ac:dyDescent="0.25">
      <c r="A7" s="37">
        <f t="shared" si="1"/>
        <v>2.5</v>
      </c>
      <c r="B7" s="37">
        <f t="shared" si="0"/>
        <v>-0.4275550934302727</v>
      </c>
      <c r="C7" s="39">
        <v>5.0234375</v>
      </c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</row>
    <row r="8" spans="1:28" x14ac:dyDescent="0.25">
      <c r="A8" s="37">
        <f t="shared" si="1"/>
        <v>3</v>
      </c>
      <c r="B8" s="37">
        <f t="shared" si="0"/>
        <v>0.18545223811159064</v>
      </c>
      <c r="C8" s="39">
        <v>5.0234375</v>
      </c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</row>
    <row r="9" spans="1:28" x14ac:dyDescent="0.25">
      <c r="A9" s="37">
        <f t="shared" si="1"/>
        <v>3.5</v>
      </c>
      <c r="B9" s="37">
        <f t="shared" si="0"/>
        <v>0.72762311798457702</v>
      </c>
      <c r="C9" s="39">
        <v>5.0234375</v>
      </c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</row>
    <row r="10" spans="1:28" x14ac:dyDescent="0.25">
      <c r="A10" s="37">
        <f t="shared" si="1"/>
        <v>4</v>
      </c>
      <c r="B10" s="37">
        <f t="shared" si="0"/>
        <v>0.99186669778762693</v>
      </c>
      <c r="C10" s="39">
        <v>5.0234375</v>
      </c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</row>
    <row r="11" spans="1:28" x14ac:dyDescent="0.25">
      <c r="A11" s="37">
        <f t="shared" si="1"/>
        <v>4.5</v>
      </c>
      <c r="B11" s="37">
        <f t="shared" si="0"/>
        <v>0.87725091134491928</v>
      </c>
      <c r="C11" s="39">
        <v>5.0234375</v>
      </c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</row>
    <row r="12" spans="1:28" x14ac:dyDescent="0.25">
      <c r="A12" s="37">
        <f t="shared" si="1"/>
        <v>5</v>
      </c>
      <c r="B12" s="37">
        <f t="shared" si="0"/>
        <v>0.42755509343028242</v>
      </c>
      <c r="C12" s="39">
        <v>5.0234375</v>
      </c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</row>
    <row r="13" spans="1:28" x14ac:dyDescent="0.25">
      <c r="A13" s="37">
        <f t="shared" si="1"/>
        <v>5.5</v>
      </c>
      <c r="B13" s="37">
        <f t="shared" ref="B13:B22" si="2">IFERROR(SIN(2*PI()*($W$2*C13-A13/$W$3)),0)</f>
        <v>-0.18545223811159403</v>
      </c>
      <c r="C13" s="39">
        <v>5.0234375</v>
      </c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</row>
    <row r="14" spans="1:28" x14ac:dyDescent="0.25">
      <c r="A14" s="37">
        <f t="shared" si="1"/>
        <v>6</v>
      </c>
      <c r="B14" s="37">
        <f t="shared" si="2"/>
        <v>-0.72762311798456969</v>
      </c>
      <c r="C14" s="39">
        <v>5.0234375</v>
      </c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</row>
    <row r="15" spans="1:28" x14ac:dyDescent="0.25">
      <c r="A15" s="37">
        <f t="shared" si="1"/>
        <v>6.5</v>
      </c>
      <c r="B15" s="37">
        <f t="shared" si="2"/>
        <v>-0.99186669778762737</v>
      </c>
      <c r="C15" s="39">
        <v>5.0234375</v>
      </c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</row>
    <row r="16" spans="1:28" x14ac:dyDescent="0.25">
      <c r="A16" s="37">
        <f t="shared" si="1"/>
        <v>7</v>
      </c>
      <c r="B16" s="37">
        <f t="shared" si="2"/>
        <v>-0.8772509113449245</v>
      </c>
      <c r="C16" s="39">
        <v>5.0234375</v>
      </c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6"/>
      <c r="X16" s="15"/>
      <c r="Y16" s="15"/>
      <c r="Z16" s="15"/>
      <c r="AA16" s="15"/>
      <c r="AB16" s="15"/>
    </row>
    <row r="17" spans="1:28" x14ac:dyDescent="0.25">
      <c r="A17" s="37">
        <f t="shared" si="1"/>
        <v>7.5</v>
      </c>
      <c r="B17" s="37">
        <f t="shared" si="2"/>
        <v>-0.42755509343027936</v>
      </c>
      <c r="C17" s="39">
        <v>5.0234375</v>
      </c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</row>
    <row r="18" spans="1:28" x14ac:dyDescent="0.25">
      <c r="A18" s="37">
        <f t="shared" si="1"/>
        <v>8</v>
      </c>
      <c r="B18" s="37">
        <f t="shared" si="2"/>
        <v>0.18545223811159739</v>
      </c>
      <c r="C18" s="39">
        <v>5.0234375</v>
      </c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</row>
    <row r="19" spans="1:28" x14ac:dyDescent="0.25">
      <c r="A19" s="37">
        <f t="shared" si="1"/>
        <v>8.5</v>
      </c>
      <c r="B19" s="37">
        <f t="shared" si="2"/>
        <v>0.72762311798457202</v>
      </c>
      <c r="C19" s="39">
        <v>5.0234375</v>
      </c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</row>
    <row r="20" spans="1:28" x14ac:dyDescent="0.25">
      <c r="A20" s="37">
        <f t="shared" si="1"/>
        <v>9</v>
      </c>
      <c r="B20" s="37">
        <f t="shared" si="2"/>
        <v>0.99186669778762782</v>
      </c>
      <c r="C20" s="39">
        <v>5.0234375</v>
      </c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</row>
    <row r="21" spans="1:28" x14ac:dyDescent="0.25">
      <c r="A21" s="37">
        <f t="shared" si="1"/>
        <v>9.5</v>
      </c>
      <c r="B21" s="37">
        <f t="shared" si="2"/>
        <v>0.87725091134492283</v>
      </c>
      <c r="C21" s="39">
        <v>5.0234375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</row>
    <row r="22" spans="1:28" x14ac:dyDescent="0.25">
      <c r="A22" s="37">
        <f t="shared" si="1"/>
        <v>10</v>
      </c>
      <c r="B22" s="37">
        <f t="shared" si="2"/>
        <v>0.42755509343027626</v>
      </c>
      <c r="C22" s="39">
        <v>5.0234375</v>
      </c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</row>
    <row r="23" spans="1:28" x14ac:dyDescent="0.25">
      <c r="A23" s="18"/>
      <c r="B23" s="18"/>
      <c r="C23" s="18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</row>
    <row r="24" spans="1:28" x14ac:dyDescent="0.25">
      <c r="A24" s="18"/>
      <c r="B24" s="18"/>
      <c r="C24" s="7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</row>
    <row r="25" spans="1:28" x14ac:dyDescent="0.25">
      <c r="A25" s="1"/>
      <c r="B25" s="1"/>
      <c r="C25" s="1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</row>
    <row r="26" spans="1:28" x14ac:dyDescent="0.25">
      <c r="A26" s="1"/>
      <c r="B26" s="1"/>
      <c r="C26" s="1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</row>
    <row r="27" spans="1:28" x14ac:dyDescent="0.25">
      <c r="A27" s="1"/>
      <c r="B27" s="1"/>
      <c r="C27" s="1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</row>
    <row r="28" spans="1:28" x14ac:dyDescent="0.25">
      <c r="A28" s="1"/>
      <c r="B28" s="1"/>
      <c r="C28" s="1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</row>
    <row r="29" spans="1:28" x14ac:dyDescent="0.25">
      <c r="A29" s="1"/>
      <c r="B29" s="1"/>
      <c r="C29" s="1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</row>
    <row r="30" spans="1:28" x14ac:dyDescent="0.25">
      <c r="A30" s="1"/>
      <c r="B30" s="1"/>
      <c r="C30" s="1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</row>
    <row r="31" spans="1:28" x14ac:dyDescent="0.25">
      <c r="A31" s="1"/>
      <c r="B31" s="1"/>
      <c r="C31" s="1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</row>
    <row r="32" spans="1:28" x14ac:dyDescent="0.25">
      <c r="A32" s="1"/>
      <c r="B32" s="1"/>
      <c r="C32" s="1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</row>
    <row r="33" spans="1:28" x14ac:dyDescent="0.25">
      <c r="A33" s="1"/>
      <c r="B33" s="1"/>
      <c r="C33" s="1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</row>
    <row r="34" spans="1:28" x14ac:dyDescent="0.25">
      <c r="A34" s="1"/>
      <c r="B34" s="1"/>
      <c r="C34" s="1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</row>
    <row r="35" spans="1:28" x14ac:dyDescent="0.25">
      <c r="A35" s="1"/>
      <c r="B35" s="1"/>
      <c r="C35" s="1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</row>
    <row r="36" spans="1:28" x14ac:dyDescent="0.25">
      <c r="A36" s="1"/>
      <c r="B36" s="1"/>
      <c r="C36" s="1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</row>
    <row r="37" spans="1:28" x14ac:dyDescent="0.25">
      <c r="A37" s="1"/>
      <c r="B37" s="1"/>
      <c r="C37" s="1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</row>
    <row r="38" spans="1:28" x14ac:dyDescent="0.25">
      <c r="A38" s="1"/>
      <c r="B38" s="1"/>
      <c r="C38" s="1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</row>
    <row r="39" spans="1:28" x14ac:dyDescent="0.25">
      <c r="A39" s="1"/>
      <c r="B39" s="1"/>
      <c r="C39" s="1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</row>
    <row r="40" spans="1:28" x14ac:dyDescent="0.25">
      <c r="A40" s="1"/>
      <c r="B40" s="1"/>
      <c r="C40" s="1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</row>
    <row r="41" spans="1:28" x14ac:dyDescent="0.25">
      <c r="A41" s="1"/>
      <c r="B41" s="1"/>
      <c r="C41" s="1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</row>
    <row r="42" spans="1:28" x14ac:dyDescent="0.25">
      <c r="A42" s="1"/>
      <c r="B42" s="1"/>
      <c r="C42" s="1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</row>
    <row r="43" spans="1:28" x14ac:dyDescent="0.25">
      <c r="A43" s="1"/>
      <c r="B43" s="1"/>
      <c r="C43" s="1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</row>
    <row r="44" spans="1:28" x14ac:dyDescent="0.25">
      <c r="A44" s="1"/>
      <c r="B44" s="1"/>
      <c r="C44" s="1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</row>
    <row r="45" spans="1:28" x14ac:dyDescent="0.25">
      <c r="A45" s="1"/>
      <c r="B45" s="1"/>
      <c r="C45" s="1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</row>
    <row r="46" spans="1:28" x14ac:dyDescent="0.25">
      <c r="A46" s="1"/>
      <c r="B46" s="1"/>
      <c r="C46" s="1"/>
    </row>
    <row r="47" spans="1:28" x14ac:dyDescent="0.25">
      <c r="A47" s="1"/>
      <c r="B47" s="1"/>
      <c r="C47" s="1"/>
    </row>
    <row r="48" spans="1:28" x14ac:dyDescent="0.25">
      <c r="A48" s="1"/>
      <c r="B48" s="1"/>
      <c r="C48" s="1"/>
    </row>
    <row r="49" spans="1:3" x14ac:dyDescent="0.25">
      <c r="A49" s="1"/>
      <c r="B49" s="1"/>
      <c r="C49" s="1"/>
    </row>
    <row r="50" spans="1:3" x14ac:dyDescent="0.25">
      <c r="A50" s="1"/>
      <c r="B50" s="1"/>
      <c r="C50" s="1"/>
    </row>
    <row r="51" spans="1:3" x14ac:dyDescent="0.25">
      <c r="A51" s="1"/>
      <c r="B51" s="1"/>
      <c r="C51" s="1"/>
    </row>
    <row r="52" spans="1:3" x14ac:dyDescent="0.25">
      <c r="A52" s="1"/>
      <c r="B52" s="1"/>
      <c r="C52" s="1"/>
    </row>
    <row r="53" spans="1:3" x14ac:dyDescent="0.25">
      <c r="A53" s="1"/>
      <c r="B53" s="1"/>
      <c r="C53" s="1"/>
    </row>
    <row r="54" spans="1:3" x14ac:dyDescent="0.25">
      <c r="A54" s="1"/>
      <c r="B54" s="1"/>
      <c r="C54" s="1"/>
    </row>
    <row r="55" spans="1:3" x14ac:dyDescent="0.25">
      <c r="A55" s="1"/>
      <c r="B55" s="1"/>
      <c r="C55" s="1"/>
    </row>
    <row r="56" spans="1:3" x14ac:dyDescent="0.25">
      <c r="A56" s="1"/>
      <c r="B56" s="1"/>
      <c r="C56" s="1"/>
    </row>
    <row r="57" spans="1:3" x14ac:dyDescent="0.25">
      <c r="A57" s="1"/>
      <c r="B57" s="1"/>
      <c r="C57" s="1"/>
    </row>
    <row r="58" spans="1:3" x14ac:dyDescent="0.25">
      <c r="A58" s="1"/>
      <c r="B58" s="1"/>
      <c r="C58" s="1"/>
    </row>
    <row r="59" spans="1:3" x14ac:dyDescent="0.25">
      <c r="A59" s="1"/>
      <c r="B59" s="1"/>
      <c r="C59" s="1"/>
    </row>
    <row r="60" spans="1:3" x14ac:dyDescent="0.25">
      <c r="A60" s="1"/>
      <c r="B60" s="1"/>
      <c r="C60" s="1"/>
    </row>
    <row r="61" spans="1:3" x14ac:dyDescent="0.25">
      <c r="A61" s="1"/>
      <c r="B61" s="1"/>
      <c r="C61" s="1"/>
    </row>
    <row r="62" spans="1:3" x14ac:dyDescent="0.25">
      <c r="A62" s="1"/>
      <c r="B62" s="1"/>
      <c r="C62" s="1"/>
    </row>
    <row r="63" spans="1:3" x14ac:dyDescent="0.25">
      <c r="A63" s="1"/>
      <c r="B63" s="1"/>
      <c r="C63" s="1"/>
    </row>
    <row r="64" spans="1:3" x14ac:dyDescent="0.25">
      <c r="A64" s="1"/>
      <c r="B64" s="1"/>
      <c r="C64" s="1"/>
    </row>
    <row r="65" spans="1:3" x14ac:dyDescent="0.25">
      <c r="A65" s="1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1"/>
      <c r="B68" s="1"/>
      <c r="C68" s="1"/>
    </row>
    <row r="69" spans="1:3" x14ac:dyDescent="0.25">
      <c r="A69" s="1"/>
      <c r="B69" s="1"/>
      <c r="C69" s="1"/>
    </row>
    <row r="70" spans="1:3" x14ac:dyDescent="0.25">
      <c r="A70" s="1"/>
      <c r="B70" s="1"/>
      <c r="C70" s="1"/>
    </row>
    <row r="71" spans="1:3" x14ac:dyDescent="0.25">
      <c r="A71" s="1"/>
      <c r="B71" s="1"/>
      <c r="C71" s="1"/>
    </row>
    <row r="72" spans="1:3" x14ac:dyDescent="0.25">
      <c r="A72" s="1"/>
      <c r="B72" s="1"/>
      <c r="C72" s="1"/>
    </row>
    <row r="73" spans="1:3" x14ac:dyDescent="0.25">
      <c r="A73" s="1"/>
      <c r="B73" s="1"/>
      <c r="C73" s="1"/>
    </row>
    <row r="74" spans="1:3" x14ac:dyDescent="0.25">
      <c r="A74" s="1"/>
      <c r="B74" s="1"/>
      <c r="C74" s="1"/>
    </row>
    <row r="75" spans="1:3" x14ac:dyDescent="0.25">
      <c r="A75" s="1"/>
      <c r="B75" s="1"/>
      <c r="C75" s="1"/>
    </row>
    <row r="76" spans="1:3" x14ac:dyDescent="0.25">
      <c r="A76" s="1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1"/>
      <c r="B80" s="1"/>
      <c r="C80" s="1"/>
    </row>
    <row r="81" spans="1:3" x14ac:dyDescent="0.25">
      <c r="A81" s="1"/>
      <c r="B81" s="1"/>
      <c r="C81" s="1"/>
    </row>
    <row r="82" spans="1:3" x14ac:dyDescent="0.25">
      <c r="A82" s="1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  <row r="85" spans="1:3" x14ac:dyDescent="0.25">
      <c r="A85" s="1"/>
      <c r="B85" s="1"/>
      <c r="C85" s="1"/>
    </row>
    <row r="86" spans="1:3" x14ac:dyDescent="0.25">
      <c r="A86" s="1"/>
      <c r="B86" s="1"/>
      <c r="C86" s="1"/>
    </row>
    <row r="87" spans="1:3" x14ac:dyDescent="0.25">
      <c r="A87" s="1"/>
      <c r="B87" s="1"/>
      <c r="C87" s="1"/>
    </row>
    <row r="88" spans="1:3" x14ac:dyDescent="0.25">
      <c r="A88" s="1"/>
      <c r="B88" s="1"/>
      <c r="C88" s="1"/>
    </row>
    <row r="89" spans="1:3" x14ac:dyDescent="0.25">
      <c r="A89" s="1"/>
      <c r="B89" s="1"/>
      <c r="C89" s="1"/>
    </row>
    <row r="90" spans="1:3" x14ac:dyDescent="0.25">
      <c r="A90" s="1"/>
      <c r="B90" s="1"/>
      <c r="C90" s="1"/>
    </row>
    <row r="91" spans="1:3" x14ac:dyDescent="0.25">
      <c r="A91" s="1"/>
      <c r="B91" s="1"/>
      <c r="C91" s="1"/>
    </row>
    <row r="92" spans="1:3" x14ac:dyDescent="0.25">
      <c r="A92" s="1"/>
      <c r="B92" s="1"/>
      <c r="C92" s="1"/>
    </row>
    <row r="93" spans="1:3" x14ac:dyDescent="0.25">
      <c r="A93" s="1"/>
      <c r="B93" s="1"/>
      <c r="C93" s="1"/>
    </row>
    <row r="94" spans="1:3" x14ac:dyDescent="0.25">
      <c r="A94" s="1"/>
      <c r="B94" s="1"/>
      <c r="C94" s="1"/>
    </row>
    <row r="95" spans="1:3" x14ac:dyDescent="0.25">
      <c r="A95" s="1"/>
      <c r="B95" s="1"/>
      <c r="C95" s="1"/>
    </row>
    <row r="96" spans="1:3" x14ac:dyDescent="0.25">
      <c r="A96" s="1"/>
      <c r="B96" s="1"/>
      <c r="C96" s="1"/>
    </row>
    <row r="97" spans="1:3" x14ac:dyDescent="0.25">
      <c r="A97" s="1"/>
      <c r="B97" s="1"/>
      <c r="C97" s="1"/>
    </row>
    <row r="98" spans="1:3" x14ac:dyDescent="0.25">
      <c r="A98" s="1"/>
      <c r="B98" s="1"/>
      <c r="C98" s="1"/>
    </row>
    <row r="99" spans="1:3" x14ac:dyDescent="0.25">
      <c r="A99" s="1"/>
      <c r="B99" s="1"/>
      <c r="C99" s="1"/>
    </row>
    <row r="100" spans="1:3" x14ac:dyDescent="0.25">
      <c r="A100" s="1"/>
      <c r="B100" s="1"/>
      <c r="C100" s="1"/>
    </row>
    <row r="101" spans="1:3" x14ac:dyDescent="0.25">
      <c r="A101" s="1"/>
      <c r="B101" s="1"/>
      <c r="C101" s="1"/>
    </row>
    <row r="102" spans="1:3" x14ac:dyDescent="0.25">
      <c r="A102" s="1"/>
      <c r="B102" s="1"/>
      <c r="C102" s="1"/>
    </row>
    <row r="104" spans="1:3" x14ac:dyDescent="0.25">
      <c r="A104" s="1"/>
    </row>
  </sheetData>
  <mergeCells count="2">
    <mergeCell ref="A23:C23"/>
    <mergeCell ref="A24:B24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A792F-4B66-409C-A2B2-232EC2BD3479}">
  <sheetPr codeName="Planilha3"/>
  <dimension ref="A1:AC104"/>
  <sheetViews>
    <sheetView tabSelected="1" workbookViewId="0">
      <selection activeCell="E33" sqref="E33"/>
    </sheetView>
  </sheetViews>
  <sheetFormatPr defaultRowHeight="15" x14ac:dyDescent="0.25"/>
  <cols>
    <col min="1" max="3" width="9.28515625" style="2" customWidth="1"/>
    <col min="4" max="5" width="9.28515625" customWidth="1"/>
    <col min="22" max="22" width="10.85546875" customWidth="1"/>
    <col min="23" max="23" width="16.28515625" bestFit="1" customWidth="1"/>
    <col min="24" max="24" width="11.140625" customWidth="1"/>
    <col min="25" max="25" width="14.42578125" bestFit="1" customWidth="1"/>
  </cols>
  <sheetData>
    <row r="1" spans="1:29" ht="20.25" x14ac:dyDescent="0.25">
      <c r="A1" s="38" t="s">
        <v>1</v>
      </c>
      <c r="B1" s="38" t="s">
        <v>2</v>
      </c>
      <c r="C1" s="38" t="s">
        <v>1</v>
      </c>
      <c r="D1" s="38" t="s">
        <v>2</v>
      </c>
      <c r="E1" s="38" t="s">
        <v>3</v>
      </c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21" t="s">
        <v>10</v>
      </c>
      <c r="W1" s="22"/>
      <c r="X1" s="27" t="s">
        <v>11</v>
      </c>
      <c r="Y1" s="28"/>
      <c r="Z1" s="15"/>
      <c r="AA1" s="15"/>
      <c r="AB1" s="15"/>
      <c r="AC1" s="15"/>
    </row>
    <row r="2" spans="1:29" ht="23.25" x14ac:dyDescent="0.25">
      <c r="A2" s="37">
        <v>0</v>
      </c>
      <c r="B2" s="37">
        <f>SIN(2*PI()*($W$2*E2-A2/$W$3))</f>
        <v>6.1320736302207433E-2</v>
      </c>
      <c r="C2" s="37">
        <v>0</v>
      </c>
      <c r="D2" s="37">
        <f>SIN(2*PI()*($Y$2*E2-C2/$Y$3))</f>
        <v>0.12241067519921392</v>
      </c>
      <c r="E2" s="39">
        <v>4.01953125</v>
      </c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23" t="s">
        <v>5</v>
      </c>
      <c r="W2" s="24">
        <v>0.5</v>
      </c>
      <c r="X2" s="29" t="s">
        <v>5</v>
      </c>
      <c r="Y2" s="30">
        <v>1</v>
      </c>
      <c r="Z2" s="15"/>
      <c r="AA2" s="15"/>
      <c r="AB2" s="15"/>
      <c r="AC2" s="15"/>
    </row>
    <row r="3" spans="1:29" ht="23.25" x14ac:dyDescent="0.25">
      <c r="A3" s="37">
        <f>$W$3/10</f>
        <v>7.6999999999999999E-2</v>
      </c>
      <c r="B3" s="37">
        <f t="shared" ref="B3:B22" si="0">SIN(2*PI()*($W$2*E3-A3/$W$3))</f>
        <v>-0.5370695890326308</v>
      </c>
      <c r="C3" s="37">
        <f>$Y$3/10</f>
        <v>0.2</v>
      </c>
      <c r="D3" s="37">
        <f t="shared" ref="D3:D22" si="1">SIN(2*PI()*($Y$2*E3-C3/$Y$3))</f>
        <v>-0.48433251711014325</v>
      </c>
      <c r="E3" s="39">
        <v>4.01953125</v>
      </c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25" t="s">
        <v>6</v>
      </c>
      <c r="W3" s="26">
        <v>0.77</v>
      </c>
      <c r="X3" s="31" t="s">
        <v>6</v>
      </c>
      <c r="Y3" s="32">
        <v>2</v>
      </c>
      <c r="Z3" s="15"/>
      <c r="AA3" s="15"/>
      <c r="AB3" s="15"/>
      <c r="AC3" s="15"/>
    </row>
    <row r="4" spans="1:29" ht="23.25" x14ac:dyDescent="0.25">
      <c r="A4" s="37">
        <f>A3+$A$3</f>
        <v>0.154</v>
      </c>
      <c r="B4" s="37">
        <f t="shared" si="0"/>
        <v>-0.93031758568094125</v>
      </c>
      <c r="C4" s="37">
        <f>C3+$C$3</f>
        <v>0.4</v>
      </c>
      <c r="D4" s="37">
        <f t="shared" si="1"/>
        <v>-0.90607714974021569</v>
      </c>
      <c r="E4" s="39">
        <v>4.01953125</v>
      </c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33" t="s">
        <v>12</v>
      </c>
      <c r="W4" s="34">
        <v>4</v>
      </c>
      <c r="X4" s="35"/>
      <c r="Y4" s="36"/>
      <c r="Z4" s="15"/>
      <c r="AA4" s="15"/>
      <c r="AB4" s="15"/>
      <c r="AC4" s="15"/>
    </row>
    <row r="5" spans="1:29" x14ac:dyDescent="0.25">
      <c r="A5" s="37">
        <f t="shared" ref="A5:C22" si="2">A4+$A$3</f>
        <v>0.23099999999999998</v>
      </c>
      <c r="B5" s="37">
        <f t="shared" si="0"/>
        <v>-0.96821588493087563</v>
      </c>
      <c r="C5" s="37">
        <f t="shared" ref="C5:C22" si="3">C4+$C$3</f>
        <v>0.60000000000000009</v>
      </c>
      <c r="D5" s="37">
        <f t="shared" si="1"/>
        <v>-0.98173110759915438</v>
      </c>
      <c r="E5" s="39">
        <v>4.01953125</v>
      </c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</row>
    <row r="6" spans="1:29" x14ac:dyDescent="0.25">
      <c r="A6" s="37">
        <f t="shared" si="2"/>
        <v>0.308</v>
      </c>
      <c r="B6" s="37">
        <f t="shared" si="0"/>
        <v>-0.63628862458477342</v>
      </c>
      <c r="C6" s="37">
        <f t="shared" si="3"/>
        <v>0.8</v>
      </c>
      <c r="D6" s="37">
        <f t="shared" si="1"/>
        <v>-0.68239715016829783</v>
      </c>
      <c r="E6" s="39">
        <v>4.01953125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</row>
    <row r="7" spans="1:29" x14ac:dyDescent="0.25">
      <c r="A7" s="37">
        <f t="shared" si="2"/>
        <v>0.38500000000000001</v>
      </c>
      <c r="B7" s="37">
        <f t="shared" si="0"/>
        <v>-6.1320736302207558E-2</v>
      </c>
      <c r="C7" s="37">
        <f t="shared" si="3"/>
        <v>1</v>
      </c>
      <c r="D7" s="37">
        <f t="shared" si="1"/>
        <v>-0.12241067519921404</v>
      </c>
      <c r="E7" s="39">
        <v>4.01953125</v>
      </c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</row>
    <row r="8" spans="1:29" x14ac:dyDescent="0.25">
      <c r="A8" s="37">
        <f t="shared" si="2"/>
        <v>0.46200000000000002</v>
      </c>
      <c r="B8" s="37">
        <f t="shared" si="0"/>
        <v>0.53706958903263069</v>
      </c>
      <c r="C8" s="37">
        <f t="shared" si="3"/>
        <v>1.2</v>
      </c>
      <c r="D8" s="37">
        <f t="shared" si="1"/>
        <v>0.48433251711014313</v>
      </c>
      <c r="E8" s="39">
        <v>4.01953125</v>
      </c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</row>
    <row r="9" spans="1:29" x14ac:dyDescent="0.25">
      <c r="A9" s="37">
        <f t="shared" si="2"/>
        <v>0.53900000000000003</v>
      </c>
      <c r="B9" s="37">
        <f t="shared" si="0"/>
        <v>0.93031758568094181</v>
      </c>
      <c r="C9" s="37">
        <f t="shared" si="3"/>
        <v>1.4</v>
      </c>
      <c r="D9" s="37">
        <f t="shared" si="1"/>
        <v>0.90607714974021569</v>
      </c>
      <c r="E9" s="39">
        <v>4.01953125</v>
      </c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</row>
    <row r="10" spans="1:29" x14ac:dyDescent="0.25">
      <c r="A10" s="37">
        <f t="shared" si="2"/>
        <v>0.61599999999999999</v>
      </c>
      <c r="B10" s="37">
        <f t="shared" si="0"/>
        <v>0.96821588493087607</v>
      </c>
      <c r="C10" s="37">
        <f t="shared" si="3"/>
        <v>1.5999999999999999</v>
      </c>
      <c r="D10" s="37">
        <f t="shared" si="1"/>
        <v>0.9817311075991545</v>
      </c>
      <c r="E10" s="39">
        <v>4.01953125</v>
      </c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</row>
    <row r="11" spans="1:29" x14ac:dyDescent="0.25">
      <c r="A11" s="37">
        <f t="shared" si="2"/>
        <v>0.69299999999999995</v>
      </c>
      <c r="B11" s="37">
        <f t="shared" si="0"/>
        <v>0.63628862458477287</v>
      </c>
      <c r="C11" s="37">
        <f t="shared" si="3"/>
        <v>1.7999999999999998</v>
      </c>
      <c r="D11" s="37">
        <f t="shared" si="1"/>
        <v>0.68239715016829794</v>
      </c>
      <c r="E11" s="39">
        <v>4.01953125</v>
      </c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</row>
    <row r="12" spans="1:29" x14ac:dyDescent="0.25">
      <c r="A12" s="37">
        <f t="shared" si="2"/>
        <v>0.76999999999999991</v>
      </c>
      <c r="B12" s="37">
        <f t="shared" si="0"/>
        <v>6.1320736302208564E-2</v>
      </c>
      <c r="C12" s="37">
        <f t="shared" si="3"/>
        <v>1.9999999999999998</v>
      </c>
      <c r="D12" s="37">
        <f t="shared" si="1"/>
        <v>0.12241067519921417</v>
      </c>
      <c r="E12" s="39">
        <v>4.01953125</v>
      </c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</row>
    <row r="13" spans="1:29" x14ac:dyDescent="0.25">
      <c r="A13" s="37">
        <f t="shared" si="2"/>
        <v>0.84699999999999986</v>
      </c>
      <c r="B13" s="37">
        <f t="shared" si="0"/>
        <v>-0.53706958903262914</v>
      </c>
      <c r="C13" s="37">
        <f t="shared" si="3"/>
        <v>2.1999999999999997</v>
      </c>
      <c r="D13" s="37">
        <f t="shared" si="1"/>
        <v>-0.48433251711013992</v>
      </c>
      <c r="E13" s="39">
        <v>4.01953125</v>
      </c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</row>
    <row r="14" spans="1:29" x14ac:dyDescent="0.25">
      <c r="A14" s="37">
        <f t="shared" si="2"/>
        <v>0.92399999999999982</v>
      </c>
      <c r="B14" s="37">
        <f t="shared" si="0"/>
        <v>-0.93031758568094081</v>
      </c>
      <c r="C14" s="37">
        <f t="shared" si="3"/>
        <v>2.4</v>
      </c>
      <c r="D14" s="37">
        <f t="shared" si="1"/>
        <v>-0.90607714974021558</v>
      </c>
      <c r="E14" s="39">
        <v>4.01953125</v>
      </c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</row>
    <row r="15" spans="1:29" x14ac:dyDescent="0.25">
      <c r="A15" s="37">
        <f t="shared" si="2"/>
        <v>1.0009999999999999</v>
      </c>
      <c r="B15" s="37">
        <f t="shared" si="0"/>
        <v>-0.96821588493087618</v>
      </c>
      <c r="C15" s="37">
        <f t="shared" si="3"/>
        <v>2.6</v>
      </c>
      <c r="D15" s="37">
        <f t="shared" si="1"/>
        <v>-0.9817311075991545</v>
      </c>
      <c r="E15" s="39">
        <v>4.01953125</v>
      </c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</row>
    <row r="16" spans="1:29" x14ac:dyDescent="0.25">
      <c r="A16" s="37">
        <f t="shared" si="2"/>
        <v>1.0779999999999998</v>
      </c>
      <c r="B16" s="37">
        <f t="shared" si="0"/>
        <v>-0.63628862458477431</v>
      </c>
      <c r="C16" s="37">
        <f t="shared" si="3"/>
        <v>2.8000000000000003</v>
      </c>
      <c r="D16" s="37">
        <f t="shared" si="1"/>
        <v>-0.6823971501682955</v>
      </c>
      <c r="E16" s="39">
        <v>4.01953125</v>
      </c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</row>
    <row r="17" spans="1:29" x14ac:dyDescent="0.25">
      <c r="A17" s="37">
        <f t="shared" si="2"/>
        <v>1.1549999999999998</v>
      </c>
      <c r="B17" s="37">
        <f t="shared" si="0"/>
        <v>-6.1320736302210022E-2</v>
      </c>
      <c r="C17" s="37">
        <f t="shared" si="3"/>
        <v>3.0000000000000004</v>
      </c>
      <c r="D17" s="37">
        <f t="shared" si="1"/>
        <v>-0.12241067519921606</v>
      </c>
      <c r="E17" s="39">
        <v>4.01953125</v>
      </c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</row>
    <row r="18" spans="1:29" x14ac:dyDescent="0.25">
      <c r="A18" s="37">
        <f t="shared" si="2"/>
        <v>1.2319999999999998</v>
      </c>
      <c r="B18" s="37">
        <f t="shared" si="0"/>
        <v>0.53706958903262825</v>
      </c>
      <c r="C18" s="37">
        <f t="shared" si="3"/>
        <v>3.2000000000000006</v>
      </c>
      <c r="D18" s="37">
        <f t="shared" si="1"/>
        <v>0.48433251711014447</v>
      </c>
      <c r="E18" s="39">
        <v>4.01953125</v>
      </c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</row>
    <row r="19" spans="1:29" x14ac:dyDescent="0.25">
      <c r="A19" s="37">
        <f t="shared" si="2"/>
        <v>1.3089999999999997</v>
      </c>
      <c r="B19" s="37">
        <f t="shared" si="0"/>
        <v>0.93031758568094036</v>
      </c>
      <c r="C19" s="37">
        <f t="shared" si="3"/>
        <v>3.4000000000000008</v>
      </c>
      <c r="D19" s="37">
        <f t="shared" si="1"/>
        <v>0.90607714974021558</v>
      </c>
      <c r="E19" s="39">
        <v>4.01953125</v>
      </c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</row>
    <row r="20" spans="1:29" x14ac:dyDescent="0.25">
      <c r="A20" s="37">
        <f t="shared" si="2"/>
        <v>1.3859999999999997</v>
      </c>
      <c r="B20" s="37">
        <f t="shared" si="0"/>
        <v>0.96821588493087651</v>
      </c>
      <c r="C20" s="37">
        <f t="shared" si="3"/>
        <v>3.600000000000001</v>
      </c>
      <c r="D20" s="37">
        <f t="shared" si="1"/>
        <v>0.98173110759915316</v>
      </c>
      <c r="E20" s="39">
        <v>4.01953125</v>
      </c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</row>
    <row r="21" spans="1:29" x14ac:dyDescent="0.25">
      <c r="A21" s="37">
        <f t="shared" si="2"/>
        <v>1.4629999999999996</v>
      </c>
      <c r="B21" s="37">
        <f t="shared" si="0"/>
        <v>0.63628862458477542</v>
      </c>
      <c r="C21" s="37">
        <f t="shared" si="3"/>
        <v>3.8000000000000012</v>
      </c>
      <c r="D21" s="37">
        <f t="shared" si="1"/>
        <v>0.68239715016829428</v>
      </c>
      <c r="E21" s="39">
        <v>4.01953125</v>
      </c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</row>
    <row r="22" spans="1:29" x14ac:dyDescent="0.25">
      <c r="A22" s="37">
        <f t="shared" si="2"/>
        <v>1.5399999999999996</v>
      </c>
      <c r="B22" s="37">
        <f t="shared" si="0"/>
        <v>6.1320736302212749E-2</v>
      </c>
      <c r="C22" s="37">
        <f t="shared" si="3"/>
        <v>4.0000000000000009</v>
      </c>
      <c r="D22" s="37">
        <f t="shared" si="1"/>
        <v>0.12241067519921264</v>
      </c>
      <c r="E22" s="39">
        <v>4.01953125</v>
      </c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</row>
    <row r="23" spans="1:29" x14ac:dyDescent="0.25">
      <c r="A23" s="18"/>
      <c r="B23" s="18"/>
      <c r="C23" s="18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</row>
    <row r="24" spans="1:29" x14ac:dyDescent="0.25">
      <c r="A24" s="18"/>
      <c r="B24" s="18"/>
      <c r="C24" s="7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</row>
    <row r="25" spans="1:29" x14ac:dyDescent="0.25">
      <c r="A25" s="1"/>
      <c r="B25" s="1"/>
      <c r="C25" s="1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</row>
    <row r="26" spans="1:29" x14ac:dyDescent="0.25">
      <c r="A26" s="1"/>
      <c r="B26" s="1"/>
      <c r="C26" s="1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</row>
    <row r="27" spans="1:29" x14ac:dyDescent="0.25">
      <c r="A27" s="1"/>
      <c r="B27" s="1"/>
      <c r="C27" s="1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</row>
    <row r="28" spans="1:29" x14ac:dyDescent="0.25">
      <c r="A28" s="1"/>
      <c r="B28" s="1"/>
      <c r="C28" s="1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</row>
    <row r="29" spans="1:29" x14ac:dyDescent="0.25">
      <c r="A29" s="1"/>
      <c r="B29" s="1"/>
      <c r="C29" s="1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</row>
    <row r="30" spans="1:29" x14ac:dyDescent="0.25">
      <c r="A30" s="1"/>
      <c r="B30" s="1"/>
      <c r="C30" s="1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</row>
    <row r="31" spans="1:29" x14ac:dyDescent="0.25">
      <c r="A31" s="1"/>
      <c r="B31" s="1"/>
      <c r="C31" s="1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</row>
    <row r="32" spans="1:29" x14ac:dyDescent="0.25">
      <c r="A32" s="1"/>
      <c r="B32" s="1"/>
      <c r="C32" s="1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</row>
    <row r="33" spans="1:29" x14ac:dyDescent="0.25">
      <c r="A33" s="1"/>
      <c r="B33" s="1"/>
      <c r="C33" s="1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</row>
    <row r="34" spans="1:29" x14ac:dyDescent="0.25">
      <c r="A34" s="1"/>
      <c r="B34" s="1"/>
      <c r="C34" s="1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</row>
    <row r="35" spans="1:29" x14ac:dyDescent="0.25">
      <c r="A35" s="1"/>
      <c r="B35" s="1"/>
      <c r="C35" s="1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</row>
    <row r="36" spans="1:29" x14ac:dyDescent="0.25">
      <c r="A36" s="1"/>
      <c r="B36" s="1"/>
      <c r="C36" s="1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</row>
    <row r="37" spans="1:29" x14ac:dyDescent="0.25">
      <c r="A37" s="1"/>
      <c r="B37" s="1"/>
      <c r="C37" s="1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</row>
    <row r="38" spans="1:29" x14ac:dyDescent="0.25">
      <c r="A38" s="1"/>
      <c r="B38" s="1"/>
      <c r="C38" s="1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</row>
    <row r="39" spans="1:29" x14ac:dyDescent="0.25">
      <c r="A39" s="1"/>
      <c r="B39" s="1"/>
      <c r="C39" s="1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</row>
    <row r="40" spans="1:29" x14ac:dyDescent="0.25">
      <c r="A40" s="1"/>
      <c r="B40" s="1"/>
      <c r="C40" s="1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</row>
    <row r="41" spans="1:29" x14ac:dyDescent="0.25">
      <c r="A41" s="1"/>
      <c r="B41" s="1"/>
      <c r="C41" s="1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</row>
    <row r="42" spans="1:29" x14ac:dyDescent="0.25">
      <c r="A42" s="1"/>
      <c r="B42" s="1"/>
      <c r="C42" s="1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</row>
    <row r="43" spans="1:29" x14ac:dyDescent="0.25">
      <c r="A43" s="1"/>
      <c r="B43" s="1"/>
      <c r="C43" s="1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</row>
    <row r="44" spans="1:29" x14ac:dyDescent="0.25">
      <c r="A44" s="1"/>
      <c r="B44" s="1"/>
      <c r="C44" s="1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</row>
    <row r="45" spans="1:29" x14ac:dyDescent="0.25">
      <c r="A45" s="1"/>
      <c r="B45" s="1"/>
      <c r="C45" s="1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</row>
    <row r="46" spans="1:29" x14ac:dyDescent="0.25">
      <c r="A46" s="1"/>
      <c r="B46" s="1"/>
      <c r="C46" s="1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</row>
    <row r="47" spans="1:29" x14ac:dyDescent="0.25">
      <c r="A47" s="1"/>
      <c r="B47" s="1"/>
      <c r="C47" s="1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</row>
    <row r="48" spans="1:29" x14ac:dyDescent="0.25">
      <c r="A48" s="1"/>
      <c r="B48" s="1"/>
      <c r="C48" s="1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</row>
    <row r="49" spans="1:27" x14ac:dyDescent="0.25">
      <c r="A49" s="1"/>
      <c r="B49" s="1"/>
      <c r="C49" s="1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</row>
    <row r="50" spans="1:27" x14ac:dyDescent="0.25">
      <c r="A50" s="1"/>
      <c r="B50" s="1"/>
      <c r="C50" s="1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</row>
    <row r="51" spans="1:27" x14ac:dyDescent="0.25">
      <c r="A51" s="1"/>
      <c r="B51" s="1"/>
      <c r="C51" s="1"/>
    </row>
    <row r="52" spans="1:27" x14ac:dyDescent="0.25">
      <c r="A52" s="1"/>
      <c r="B52" s="1"/>
      <c r="C52" s="1"/>
    </row>
    <row r="53" spans="1:27" x14ac:dyDescent="0.25">
      <c r="A53" s="1"/>
      <c r="B53" s="1"/>
      <c r="C53" s="1"/>
    </row>
    <row r="54" spans="1:27" x14ac:dyDescent="0.25">
      <c r="A54" s="1"/>
      <c r="B54" s="1"/>
      <c r="C54" s="1"/>
    </row>
    <row r="55" spans="1:27" x14ac:dyDescent="0.25">
      <c r="A55" s="1"/>
      <c r="B55" s="1"/>
      <c r="C55" s="1"/>
    </row>
    <row r="56" spans="1:27" x14ac:dyDescent="0.25">
      <c r="A56" s="1"/>
      <c r="B56" s="1"/>
      <c r="C56" s="1"/>
    </row>
    <row r="57" spans="1:27" x14ac:dyDescent="0.25">
      <c r="A57" s="1"/>
      <c r="B57" s="1"/>
      <c r="C57" s="1"/>
    </row>
    <row r="58" spans="1:27" x14ac:dyDescent="0.25">
      <c r="A58" s="1"/>
      <c r="B58" s="1"/>
      <c r="C58" s="1"/>
    </row>
    <row r="59" spans="1:27" x14ac:dyDescent="0.25">
      <c r="A59" s="1"/>
      <c r="B59" s="1"/>
      <c r="C59" s="1"/>
    </row>
    <row r="60" spans="1:27" x14ac:dyDescent="0.25">
      <c r="A60" s="1"/>
      <c r="B60" s="1"/>
      <c r="C60" s="1"/>
    </row>
    <row r="61" spans="1:27" x14ac:dyDescent="0.25">
      <c r="A61" s="1"/>
      <c r="B61" s="1"/>
      <c r="C61" s="1"/>
    </row>
    <row r="62" spans="1:27" x14ac:dyDescent="0.25">
      <c r="A62" s="1"/>
      <c r="B62" s="1"/>
      <c r="C62" s="1"/>
    </row>
    <row r="63" spans="1:27" x14ac:dyDescent="0.25">
      <c r="A63" s="1"/>
      <c r="B63" s="1"/>
      <c r="C63" s="1"/>
    </row>
    <row r="64" spans="1:27" x14ac:dyDescent="0.25">
      <c r="A64" s="1"/>
      <c r="B64" s="1"/>
      <c r="C64" s="1"/>
    </row>
    <row r="65" spans="1:3" x14ac:dyDescent="0.25">
      <c r="A65" s="1"/>
      <c r="B65" s="1"/>
      <c r="C65" s="1"/>
    </row>
    <row r="66" spans="1:3" x14ac:dyDescent="0.25">
      <c r="A66" s="1"/>
      <c r="B66" s="1"/>
      <c r="C66" s="1"/>
    </row>
    <row r="67" spans="1:3" x14ac:dyDescent="0.25">
      <c r="A67" s="1"/>
      <c r="B67" s="1"/>
      <c r="C67" s="1"/>
    </row>
    <row r="68" spans="1:3" x14ac:dyDescent="0.25">
      <c r="A68" s="1"/>
      <c r="B68" s="1"/>
      <c r="C68" s="1"/>
    </row>
    <row r="69" spans="1:3" x14ac:dyDescent="0.25">
      <c r="A69" s="1"/>
      <c r="B69" s="1"/>
      <c r="C69" s="1"/>
    </row>
    <row r="70" spans="1:3" x14ac:dyDescent="0.25">
      <c r="A70" s="1"/>
      <c r="B70" s="1"/>
      <c r="C70" s="1"/>
    </row>
    <row r="71" spans="1:3" x14ac:dyDescent="0.25">
      <c r="A71" s="1"/>
      <c r="B71" s="1"/>
      <c r="C71" s="1"/>
    </row>
    <row r="72" spans="1:3" x14ac:dyDescent="0.25">
      <c r="A72" s="1"/>
      <c r="B72" s="1"/>
      <c r="C72" s="1"/>
    </row>
    <row r="73" spans="1:3" x14ac:dyDescent="0.25">
      <c r="A73" s="1"/>
      <c r="B73" s="1"/>
      <c r="C73" s="1"/>
    </row>
    <row r="74" spans="1:3" x14ac:dyDescent="0.25">
      <c r="A74" s="1"/>
      <c r="B74" s="1"/>
      <c r="C74" s="1"/>
    </row>
    <row r="75" spans="1:3" x14ac:dyDescent="0.25">
      <c r="A75" s="1"/>
      <c r="B75" s="1"/>
      <c r="C75" s="1"/>
    </row>
    <row r="76" spans="1:3" x14ac:dyDescent="0.25">
      <c r="A76" s="1"/>
      <c r="B76" s="1"/>
      <c r="C76" s="1"/>
    </row>
    <row r="77" spans="1:3" x14ac:dyDescent="0.25">
      <c r="A77" s="1"/>
      <c r="B77" s="1"/>
      <c r="C77" s="1"/>
    </row>
    <row r="78" spans="1:3" x14ac:dyDescent="0.25">
      <c r="A78" s="1"/>
      <c r="B78" s="1"/>
      <c r="C78" s="1"/>
    </row>
    <row r="79" spans="1:3" x14ac:dyDescent="0.25">
      <c r="A79" s="1"/>
      <c r="B79" s="1"/>
      <c r="C79" s="1"/>
    </row>
    <row r="80" spans="1:3" x14ac:dyDescent="0.25">
      <c r="A80" s="1"/>
      <c r="B80" s="1"/>
      <c r="C80" s="1"/>
    </row>
    <row r="81" spans="1:3" x14ac:dyDescent="0.25">
      <c r="A81" s="1"/>
      <c r="B81" s="1"/>
      <c r="C81" s="1"/>
    </row>
    <row r="82" spans="1:3" x14ac:dyDescent="0.25">
      <c r="A82" s="1"/>
      <c r="B82" s="1"/>
      <c r="C82" s="1"/>
    </row>
    <row r="83" spans="1:3" x14ac:dyDescent="0.25">
      <c r="A83" s="1"/>
      <c r="B83" s="1"/>
      <c r="C83" s="1"/>
    </row>
    <row r="84" spans="1:3" x14ac:dyDescent="0.25">
      <c r="A84" s="1"/>
      <c r="B84" s="1"/>
      <c r="C84" s="1"/>
    </row>
    <row r="85" spans="1:3" x14ac:dyDescent="0.25">
      <c r="A85" s="1"/>
      <c r="B85" s="1"/>
      <c r="C85" s="1"/>
    </row>
    <row r="86" spans="1:3" x14ac:dyDescent="0.25">
      <c r="A86" s="1"/>
      <c r="B86" s="1"/>
      <c r="C86" s="1"/>
    </row>
    <row r="87" spans="1:3" x14ac:dyDescent="0.25">
      <c r="A87" s="1"/>
      <c r="B87" s="1"/>
      <c r="C87" s="1"/>
    </row>
    <row r="88" spans="1:3" x14ac:dyDescent="0.25">
      <c r="A88" s="1"/>
      <c r="B88" s="1"/>
      <c r="C88" s="1"/>
    </row>
    <row r="89" spans="1:3" x14ac:dyDescent="0.25">
      <c r="A89" s="1"/>
      <c r="B89" s="1"/>
      <c r="C89" s="1"/>
    </row>
    <row r="90" spans="1:3" x14ac:dyDescent="0.25">
      <c r="A90" s="1"/>
      <c r="B90" s="1"/>
      <c r="C90" s="1"/>
    </row>
    <row r="91" spans="1:3" x14ac:dyDescent="0.25">
      <c r="A91" s="1"/>
      <c r="B91" s="1"/>
      <c r="C91" s="1"/>
    </row>
    <row r="92" spans="1:3" x14ac:dyDescent="0.25">
      <c r="A92" s="1"/>
      <c r="B92" s="1"/>
      <c r="C92" s="1"/>
    </row>
    <row r="93" spans="1:3" x14ac:dyDescent="0.25">
      <c r="A93" s="1"/>
      <c r="B93" s="1"/>
      <c r="C93" s="1"/>
    </row>
    <row r="94" spans="1:3" x14ac:dyDescent="0.25">
      <c r="A94" s="1"/>
      <c r="B94" s="1"/>
      <c r="C94" s="1"/>
    </row>
    <row r="95" spans="1:3" x14ac:dyDescent="0.25">
      <c r="A95" s="1"/>
      <c r="B95" s="1"/>
      <c r="C95" s="1"/>
    </row>
    <row r="96" spans="1:3" x14ac:dyDescent="0.25">
      <c r="A96" s="1"/>
      <c r="B96" s="1"/>
      <c r="C96" s="1"/>
    </row>
    <row r="97" spans="1:3" x14ac:dyDescent="0.25">
      <c r="A97" s="1"/>
      <c r="B97" s="1"/>
      <c r="C97" s="1"/>
    </row>
    <row r="98" spans="1:3" x14ac:dyDescent="0.25">
      <c r="A98" s="1"/>
      <c r="B98" s="1"/>
      <c r="C98" s="1"/>
    </row>
    <row r="99" spans="1:3" x14ac:dyDescent="0.25">
      <c r="A99" s="1"/>
      <c r="B99" s="1"/>
      <c r="C99" s="1"/>
    </row>
    <row r="100" spans="1:3" x14ac:dyDescent="0.25">
      <c r="A100" s="1"/>
      <c r="B100" s="1"/>
      <c r="C100" s="1"/>
    </row>
    <row r="101" spans="1:3" x14ac:dyDescent="0.25">
      <c r="A101" s="1"/>
      <c r="B101" s="1"/>
      <c r="C101" s="1"/>
    </row>
    <row r="102" spans="1:3" x14ac:dyDescent="0.25">
      <c r="A102" s="1"/>
      <c r="B102" s="1"/>
      <c r="C102" s="1"/>
    </row>
    <row r="104" spans="1:3" x14ac:dyDescent="0.25">
      <c r="A104" s="1"/>
    </row>
  </sheetData>
  <mergeCells count="5">
    <mergeCell ref="V1:W1"/>
    <mergeCell ref="A23:C23"/>
    <mergeCell ref="A24:B24"/>
    <mergeCell ref="X1:Y1"/>
    <mergeCell ref="W4:Y4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A0C1BE20D5E81409340BFBE0540F71B" ma:contentTypeVersion="9" ma:contentTypeDescription="Crie um novo documento." ma:contentTypeScope="" ma:versionID="bb53ed1606f88bd3ba3d9ebeccc198f2">
  <xsd:schema xmlns:xsd="http://www.w3.org/2001/XMLSchema" xmlns:xs="http://www.w3.org/2001/XMLSchema" xmlns:p="http://schemas.microsoft.com/office/2006/metadata/properties" xmlns:ns3="61cef99f-748f-4e66-bee2-96e3fa1c4d38" targetNamespace="http://schemas.microsoft.com/office/2006/metadata/properties" ma:root="true" ma:fieldsID="c3a3142f294b7721cf9a62dbf4b3b198" ns3:_="">
    <xsd:import namespace="61cef99f-748f-4e66-bee2-96e3fa1c4d3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MediaServiceSearchProperties" minOccurs="0"/>
                <xsd:element ref="ns3:MediaServiceDateTaken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cef99f-748f-4e66-bee2-96e3fa1c4d3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1735D62-FD42-4113-A6F6-5FD031C3B53F}">
  <ds:schemaRefs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schemas.microsoft.com/office/2006/documentManagement/types"/>
    <ds:schemaRef ds:uri="http://purl.org/dc/terms/"/>
    <ds:schemaRef ds:uri="61cef99f-748f-4e66-bee2-96e3fa1c4d38"/>
    <ds:schemaRef ds:uri="http://purl.org/dc/dcmitype/"/>
    <ds:schemaRef ds:uri="http://schemas.openxmlformats.org/package/2006/metadata/core-properties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94E70D3E-834D-49E4-A49C-47929563553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6CB6E3D-E841-4F7B-BDFD-3401CAE947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cef99f-748f-4e66-bee2-96e3fa1c4d3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Sandbox</vt:lpstr>
      <vt:lpstr>Consulta</vt:lpstr>
      <vt:lpstr>Comparador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GABRIEL DE MORAIS SOUZA</dc:creator>
  <cp:lastModifiedBy>JOSE GABRIEL DE MORAIS SOUZA</cp:lastModifiedBy>
  <dcterms:created xsi:type="dcterms:W3CDTF">2024-10-05T13:22:25Z</dcterms:created>
  <dcterms:modified xsi:type="dcterms:W3CDTF">2024-10-13T15:14:38Z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0x0101006A0C1BE20D5E81409340BFBE0540F71B</vt:lpwstr>
  </property>
</Properties>
</file>