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cefsaedu-my.sharepoint.com/personal/082230001_faculdade_cefsa_edu_br/Documents/projetos/PBL - 3S/"/>
    </mc:Choice>
  </mc:AlternateContent>
  <xr:revisionPtr revIDLastSave="560660" documentId="8_{912D2F74-D8DA-4137-BA69-5893F65B2DC4}" xr6:coauthVersionLast="47" xr6:coauthVersionMax="47" xr10:uidLastSave="{314377E2-8440-442F-860A-5AB26E6E45B1}"/>
  <bookViews>
    <workbookView xWindow="-120" yWindow="-120" windowWidth="29040" windowHeight="15840" activeTab="1" xr2:uid="{9B452E65-EE66-4AAC-81BA-5408C29E36FC}"/>
  </bookViews>
  <sheets>
    <sheet name="Sandbox" sheetId="1" r:id="rId1"/>
    <sheet name="Consulta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1" l="1"/>
  <c r="B13" i="1" s="1"/>
  <c r="A3" i="2"/>
  <c r="A4" i="2" s="1"/>
  <c r="B4" i="2" s="1"/>
  <c r="B2" i="2"/>
  <c r="B2" i="1"/>
  <c r="A3" i="1"/>
  <c r="A4" i="1" s="1"/>
  <c r="A5" i="1" s="1"/>
  <c r="A6" i="1" s="1"/>
  <c r="A7" i="1" s="1"/>
  <c r="A8" i="1" s="1"/>
  <c r="A9" i="1" s="1"/>
  <c r="A10" i="1" s="1"/>
  <c r="A11" i="1" s="1"/>
  <c r="A12" i="1" s="1"/>
  <c r="A14" i="1" l="1"/>
  <c r="B3" i="2"/>
  <c r="A5" i="2"/>
  <c r="B5" i="2" s="1"/>
  <c r="B10" i="1"/>
  <c r="B5" i="1"/>
  <c r="B3" i="1"/>
  <c r="B11" i="1"/>
  <c r="B9" i="1"/>
  <c r="B8" i="1"/>
  <c r="B7" i="1"/>
  <c r="B6" i="1"/>
  <c r="B4" i="1"/>
  <c r="B12" i="1"/>
  <c r="B14" i="1" l="1"/>
  <c r="A15" i="1"/>
  <c r="A6" i="2"/>
  <c r="B6" i="2" s="1"/>
  <c r="B15" i="1" l="1"/>
  <c r="A16" i="1"/>
  <c r="A7" i="2"/>
  <c r="B7" i="2" s="1"/>
  <c r="B16" i="1" l="1"/>
  <c r="A17" i="1"/>
  <c r="A8" i="2"/>
  <c r="B8" i="2" s="1"/>
  <c r="B17" i="1" l="1"/>
  <c r="A18" i="1"/>
  <c r="A9" i="2"/>
  <c r="B9" i="2" s="1"/>
  <c r="A19" i="1" l="1"/>
  <c r="B18" i="1"/>
  <c r="A10" i="2"/>
  <c r="B10" i="2" s="1"/>
  <c r="B19" i="1" l="1"/>
  <c r="A20" i="1"/>
  <c r="A11" i="2"/>
  <c r="B11" i="2" s="1"/>
  <c r="A21" i="1" l="1"/>
  <c r="B20" i="1"/>
  <c r="A12" i="2"/>
  <c r="B12" i="2" l="1"/>
  <c r="A13" i="2"/>
  <c r="B21" i="1"/>
  <c r="A22" i="1"/>
  <c r="B22" i="1" s="1"/>
  <c r="B13" i="2" l="1"/>
  <c r="A14" i="2"/>
  <c r="B14" i="2" l="1"/>
  <c r="A15" i="2"/>
  <c r="B15" i="2" l="1"/>
  <c r="A16" i="2"/>
  <c r="B16" i="2" l="1"/>
  <c r="A17" i="2"/>
  <c r="A18" i="2" l="1"/>
  <c r="B17" i="2"/>
  <c r="A19" i="2" l="1"/>
  <c r="B18" i="2"/>
  <c r="B19" i="2" l="1"/>
  <c r="A20" i="2"/>
  <c r="B20" i="2" l="1"/>
  <c r="A21" i="2"/>
  <c r="B21" i="2" l="1"/>
  <c r="A22" i="2"/>
  <c r="B22" i="2" s="1"/>
</calcChain>
</file>

<file path=xl/sharedStrings.xml><?xml version="1.0" encoding="utf-8"?>
<sst xmlns="http://schemas.openxmlformats.org/spreadsheetml/2006/main" count="15" uniqueCount="10">
  <si>
    <t>ID</t>
  </si>
  <si>
    <t>x</t>
  </si>
  <si>
    <t>y</t>
  </si>
  <si>
    <t>t</t>
  </si>
  <si>
    <t>SANDBOX</t>
  </si>
  <si>
    <t>f</t>
  </si>
  <si>
    <t>λ</t>
  </si>
  <si>
    <r>
      <rPr>
        <b/>
        <sz val="16"/>
        <color theme="0"/>
        <rFont val="Aptos Narrow"/>
        <family val="2"/>
      </rPr>
      <t>Δ</t>
    </r>
    <r>
      <rPr>
        <b/>
        <sz val="16"/>
        <color theme="0"/>
        <rFont val="Arial"/>
        <family val="2"/>
      </rPr>
      <t>t</t>
    </r>
  </si>
  <si>
    <r>
      <rPr>
        <b/>
        <sz val="16"/>
        <color theme="1"/>
        <rFont val="Aptos Narrow"/>
        <family val="2"/>
      </rPr>
      <t>Δ</t>
    </r>
    <r>
      <rPr>
        <b/>
        <sz val="16"/>
        <color theme="1"/>
        <rFont val="Arial"/>
        <family val="2"/>
      </rPr>
      <t>t</t>
    </r>
  </si>
  <si>
    <t>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</si>
</sst>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\ &quot;Hz&quot;"/>
    <numFmt numFmtId="166" formatCode="0.00\ &quot;m&quot;"/>
    <numFmt numFmtId="167" formatCode="0\ &quot;s&quot;"/>
  </numFmts>
  <fonts count="11" x14ac:knownFonts="1"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i/>
      <sz val="18"/>
      <color theme="0"/>
      <name val="Arial"/>
      <family val="2"/>
    </font>
    <font>
      <b/>
      <sz val="16"/>
      <color theme="0"/>
      <name val="Aptos Narrow"/>
      <family val="2"/>
    </font>
    <font>
      <b/>
      <sz val="16"/>
      <color theme="1"/>
      <name val="Arial"/>
      <family val="2"/>
    </font>
    <font>
      <i/>
      <sz val="18"/>
      <color theme="1"/>
      <name val="Arial"/>
      <family val="2"/>
    </font>
    <font>
      <b/>
      <sz val="16"/>
      <color theme="1"/>
      <name val="Aptos Narrow"/>
      <family val="2"/>
    </font>
    <font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2" borderId="0" xfId="0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65" fontId="5" fillId="3" borderId="1" xfId="0" applyNumberFormat="1" applyFont="1" applyFill="1" applyBorder="1" applyAlignment="1">
      <alignment horizontal="center" vertical="center"/>
    </xf>
    <xf numFmtId="166" fontId="5" fillId="3" borderId="1" xfId="0" applyNumberFormat="1" applyFont="1" applyFill="1" applyBorder="1" applyAlignment="1">
      <alignment horizontal="center" vertical="center"/>
    </xf>
    <xf numFmtId="167" fontId="5" fillId="3" borderId="1" xfId="0" applyNumberFormat="1" applyFont="1" applyFill="1" applyBorder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65" fontId="8" fillId="4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167" fontId="8" fillId="4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10" fillId="2" borderId="0" xfId="0" applyFont="1" applyFill="1"/>
    <xf numFmtId="11" fontId="8" fillId="4" borderId="1" xfId="0" applyNumberFormat="1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164" fontId="3" fillId="5" borderId="4" xfId="0" applyNumberFormat="1" applyFont="1" applyFill="1" applyBorder="1" applyAlignment="1">
      <alignment horizontal="center" vertical="center"/>
    </xf>
    <xf numFmtId="1" fontId="3" fillId="5" borderId="5" xfId="0" applyNumberFormat="1" applyFont="1" applyFill="1" applyBorder="1" applyAlignment="1">
      <alignment horizontal="center" vertical="center"/>
    </xf>
    <xf numFmtId="164" fontId="3" fillId="5" borderId="6" xfId="0" applyNumberFormat="1" applyFont="1" applyFill="1" applyBorder="1" applyAlignment="1">
      <alignment horizontal="center" vertical="center"/>
    </xf>
    <xf numFmtId="164" fontId="3" fillId="5" borderId="7" xfId="0" applyNumberFormat="1" applyFont="1" applyFill="1" applyBorder="1" applyAlignment="1">
      <alignment horizontal="center" vertical="center"/>
    </xf>
    <xf numFmtId="1" fontId="3" fillId="5" borderId="8" xfId="0" applyNumberFormat="1" applyFont="1" applyFill="1" applyBorder="1" applyAlignment="1">
      <alignment horizontal="center" vertical="center"/>
    </xf>
    <xf numFmtId="164" fontId="3" fillId="5" borderId="9" xfId="0" applyNumberFormat="1" applyFont="1" applyFill="1" applyBorder="1" applyAlignment="1">
      <alignment horizontal="center" vertical="center"/>
    </xf>
    <xf numFmtId="164" fontId="3" fillId="5" borderId="10" xfId="0" applyNumberFormat="1" applyFont="1" applyFill="1" applyBorder="1" applyAlignment="1">
      <alignment horizontal="center" vertical="center"/>
    </xf>
    <xf numFmtId="1" fontId="3" fillId="5" borderId="11" xfId="0" applyNumberFormat="1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</a:t>
            </a:r>
            <a:r>
              <a:rPr lang="en-US" baseline="0"/>
              <a:t> senoidal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Sandbox!$B$1</c:f>
              <c:strCache>
                <c:ptCount val="1"/>
                <c:pt idx="0">
                  <c:v>y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Sandbox!$A$2:$A$22</c:f>
              <c:numCache>
                <c:formatCode>0.000</c:formatCode>
                <c:ptCount val="2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Sandbox!$B$2:$B$22</c:f>
              <c:numCache>
                <c:formatCode>0.000</c:formatCode>
                <c:ptCount val="21"/>
                <c:pt idx="0">
                  <c:v>0.58579785745643898</c:v>
                </c:pt>
                <c:pt idx="1">
                  <c:v>0.95029521069784439</c:v>
                </c:pt>
                <c:pt idx="2">
                  <c:v>0.95181209279891599</c:v>
                </c:pt>
                <c:pt idx="3">
                  <c:v>0.58976910635397051</c:v>
                </c:pt>
                <c:pt idx="4">
                  <c:v>2.4543667964601521E-3</c:v>
                </c:pt>
                <c:pt idx="5">
                  <c:v>-0.58579785745643886</c:v>
                </c:pt>
                <c:pt idx="6">
                  <c:v>-0.95029521069784428</c:v>
                </c:pt>
                <c:pt idx="7">
                  <c:v>-0.95181209279891621</c:v>
                </c:pt>
                <c:pt idx="8">
                  <c:v>-0.58976910635397117</c:v>
                </c:pt>
                <c:pt idx="9">
                  <c:v>-2.454366796460761E-3</c:v>
                </c:pt>
                <c:pt idx="10">
                  <c:v>0.58579785745643809</c:v>
                </c:pt>
                <c:pt idx="11">
                  <c:v>0.95029521069784406</c:v>
                </c:pt>
                <c:pt idx="12">
                  <c:v>0.9518120927989161</c:v>
                </c:pt>
                <c:pt idx="13">
                  <c:v>0.58976910635397095</c:v>
                </c:pt>
                <c:pt idx="14">
                  <c:v>2.4543667964595514E-3</c:v>
                </c:pt>
                <c:pt idx="15">
                  <c:v>-0.58579785745643942</c:v>
                </c:pt>
                <c:pt idx="16">
                  <c:v>-0.95029521069784484</c:v>
                </c:pt>
                <c:pt idx="17">
                  <c:v>-0.95181209279891554</c:v>
                </c:pt>
                <c:pt idx="18">
                  <c:v>-0.58976910635396818</c:v>
                </c:pt>
                <c:pt idx="19">
                  <c:v>-2.4543667964570092E-3</c:v>
                </c:pt>
                <c:pt idx="20">
                  <c:v>0.58579785745644153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2B-4DE4-8887-DB4530B8E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Consulta!$B$1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Consulta!$A$2:$A$22</c:f>
              <c:numCache>
                <c:formatCode>0.000</c:formatCode>
                <c:ptCount val="21"/>
                <c:pt idx="0">
                  <c:v>0</c:v>
                </c:pt>
                <c:pt idx="1">
                  <c:v>0.17499999999999999</c:v>
                </c:pt>
                <c:pt idx="2">
                  <c:v>0.35</c:v>
                </c:pt>
                <c:pt idx="3">
                  <c:v>0.52499999999999991</c:v>
                </c:pt>
                <c:pt idx="4">
                  <c:v>0.7</c:v>
                </c:pt>
                <c:pt idx="5">
                  <c:v>0.875</c:v>
                </c:pt>
                <c:pt idx="6">
                  <c:v>1.05</c:v>
                </c:pt>
                <c:pt idx="7">
                  <c:v>1.2250000000000001</c:v>
                </c:pt>
                <c:pt idx="8">
                  <c:v>1.4000000000000001</c:v>
                </c:pt>
                <c:pt idx="9">
                  <c:v>1.5750000000000002</c:v>
                </c:pt>
                <c:pt idx="10">
                  <c:v>1.7500000000000002</c:v>
                </c:pt>
                <c:pt idx="11">
                  <c:v>1.9250000000000003</c:v>
                </c:pt>
                <c:pt idx="12">
                  <c:v>2.1</c:v>
                </c:pt>
                <c:pt idx="13">
                  <c:v>2.2749999999999999</c:v>
                </c:pt>
                <c:pt idx="14">
                  <c:v>2.4499999999999997</c:v>
                </c:pt>
                <c:pt idx="15">
                  <c:v>2.6249999999999996</c:v>
                </c:pt>
                <c:pt idx="16">
                  <c:v>2.7999999999999994</c:v>
                </c:pt>
                <c:pt idx="17">
                  <c:v>2.9749999999999992</c:v>
                </c:pt>
                <c:pt idx="18">
                  <c:v>3.149999999999999</c:v>
                </c:pt>
                <c:pt idx="19">
                  <c:v>3.3249999999999988</c:v>
                </c:pt>
                <c:pt idx="20">
                  <c:v>3.4999999999999987</c:v>
                </c:pt>
              </c:numCache>
            </c:numRef>
          </c:xVal>
          <c:yVal>
            <c:numRef>
              <c:f>Consulta!$B$2:$B$22</c:f>
              <c:numCache>
                <c:formatCode>0.000</c:formatCode>
                <c:ptCount val="21"/>
                <c:pt idx="0">
                  <c:v>-0.97831737071962577</c:v>
                </c:pt>
                <c:pt idx="1">
                  <c:v>-0.66973836629657946</c:v>
                </c:pt>
                <c:pt idx="2">
                  <c:v>-0.10534206951809823</c:v>
                </c:pt>
                <c:pt idx="3">
                  <c:v>0.49929131737103921</c:v>
                </c:pt>
                <c:pt idx="4">
                  <c:v>0.91321239131218823</c:v>
                </c:pt>
                <c:pt idx="5">
                  <c:v>0.97831737071962799</c:v>
                </c:pt>
                <c:pt idx="6">
                  <c:v>0.66973836629658745</c:v>
                </c:pt>
                <c:pt idx="7">
                  <c:v>0.10534206951810896</c:v>
                </c:pt>
                <c:pt idx="8">
                  <c:v>-0.49929131737102989</c:v>
                </c:pt>
                <c:pt idx="9">
                  <c:v>-0.91321239131218379</c:v>
                </c:pt>
                <c:pt idx="10">
                  <c:v>-0.97831737071963021</c:v>
                </c:pt>
                <c:pt idx="11">
                  <c:v>-0.66973836629659544</c:v>
                </c:pt>
                <c:pt idx="12">
                  <c:v>-0.10534206951806314</c:v>
                </c:pt>
                <c:pt idx="13">
                  <c:v>0.4992913173710205</c:v>
                </c:pt>
                <c:pt idx="14">
                  <c:v>0.91321239131217946</c:v>
                </c:pt>
                <c:pt idx="15">
                  <c:v>0.97831737071962066</c:v>
                </c:pt>
                <c:pt idx="16">
                  <c:v>0.66973836629660355</c:v>
                </c:pt>
                <c:pt idx="17">
                  <c:v>0.10534206951807386</c:v>
                </c:pt>
                <c:pt idx="18">
                  <c:v>-0.49929131737106042</c:v>
                </c:pt>
                <c:pt idx="19">
                  <c:v>-0.91321239131217502</c:v>
                </c:pt>
                <c:pt idx="20">
                  <c:v>-0.97831737071962299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97-46E9-8425-D4F4516D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2.xml"/><Relationship Id="rId5" Type="http://schemas.openxmlformats.org/officeDocument/2006/relationships/image" Target="../media/image4.jpe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581025</xdr:colOff>
      <xdr:row>0</xdr:row>
      <xdr:rowOff>0</xdr:rowOff>
    </xdr:from>
    <xdr:to>
      <xdr:col>20</xdr:col>
      <xdr:colOff>9525</xdr:colOff>
      <xdr:row>33</xdr:row>
      <xdr:rowOff>171450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C2224C6-820C-196C-54A7-E567EC1BF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339574</xdr:colOff>
      <xdr:row>10</xdr:row>
      <xdr:rowOff>47624</xdr:rowOff>
    </xdr:from>
    <xdr:to>
      <xdr:col>22</xdr:col>
      <xdr:colOff>591614</xdr:colOff>
      <xdr:row>16</xdr:row>
      <xdr:rowOff>153237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A2F2E6A7-C6C5-A991-D8DD-97E072919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1574" y="2333624"/>
          <a:ext cx="1585540" cy="12486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581024</xdr:colOff>
      <xdr:row>0</xdr:row>
      <xdr:rowOff>9525</xdr:rowOff>
    </xdr:from>
    <xdr:to>
      <xdr:col>20</xdr:col>
      <xdr:colOff>361949</xdr:colOff>
      <xdr:row>33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68BECF-CDF1-4D38-AEBE-4A85F7BCA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53824</xdr:colOff>
      <xdr:row>5</xdr:row>
      <xdr:rowOff>66674</xdr:rowOff>
    </xdr:from>
    <xdr:to>
      <xdr:col>22</xdr:col>
      <xdr:colOff>391589</xdr:colOff>
      <xdr:row>11</xdr:row>
      <xdr:rowOff>172287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8B8B62ED-9D6C-4DCE-BBB5-4CD983BE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5424" y="1504949"/>
          <a:ext cx="1585540" cy="1248613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11</xdr:row>
      <xdr:rowOff>161925</xdr:rowOff>
    </xdr:from>
    <xdr:to>
      <xdr:col>22</xdr:col>
      <xdr:colOff>418042</xdr:colOff>
      <xdr:row>18</xdr:row>
      <xdr:rowOff>95250</xdr:rowOff>
    </xdr:to>
    <xdr:pic macro="[0]!abrirForm">
      <xdr:nvPicPr>
        <xdr:cNvPr id="7" name="Imagem 6">
          <a:extLst>
            <a:ext uri="{FF2B5EF4-FFF2-40B4-BE49-F238E27FC236}">
              <a16:creationId xmlns:a16="http://schemas.microsoft.com/office/drawing/2014/main" id="{1E1593F0-2F4A-C818-FBDA-E47C378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8750" y="2743200"/>
          <a:ext cx="1608667" cy="1266825"/>
        </a:xfrm>
        <a:prstGeom prst="rect">
          <a:avLst/>
        </a:prstGeom>
      </xdr:spPr>
    </xdr:pic>
    <xdr:clientData/>
  </xdr:twoCellAnchor>
  <xdr:twoCellAnchor editAs="oneCell">
    <xdr:from>
      <xdr:col>21</xdr:col>
      <xdr:colOff>76201</xdr:colOff>
      <xdr:row>18</xdr:row>
      <xdr:rowOff>114301</xdr:rowOff>
    </xdr:from>
    <xdr:to>
      <xdr:col>22</xdr:col>
      <xdr:colOff>419100</xdr:colOff>
      <xdr:row>25</xdr:row>
      <xdr:rowOff>23932</xdr:rowOff>
    </xdr:to>
    <xdr:pic macro="[0]!abrirForm2">
      <xdr:nvPicPr>
        <xdr:cNvPr id="13" name="Imagem 12">
          <a:extLst>
            <a:ext uri="{FF2B5EF4-FFF2-40B4-BE49-F238E27FC236}">
              <a16:creationId xmlns:a16="http://schemas.microsoft.com/office/drawing/2014/main" id="{8768A0DC-9FD2-FCFA-797A-9FC6E958A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77801" y="4029076"/>
          <a:ext cx="1590674" cy="1252656"/>
        </a:xfrm>
        <a:prstGeom prst="rect">
          <a:avLst/>
        </a:prstGeom>
      </xdr:spPr>
    </xdr:pic>
    <xdr:clientData/>
  </xdr:twoCellAnchor>
  <xdr:twoCellAnchor editAs="oneCell">
    <xdr:from>
      <xdr:col>21</xdr:col>
      <xdr:colOff>228600</xdr:colOff>
      <xdr:row>24</xdr:row>
      <xdr:rowOff>171450</xdr:rowOff>
    </xdr:from>
    <xdr:to>
      <xdr:col>22</xdr:col>
      <xdr:colOff>352425</xdr:colOff>
      <xdr:row>32</xdr:row>
      <xdr:rowOff>19050</xdr:rowOff>
    </xdr:to>
    <xdr:pic macro="[0]!abrirFormPDF">
      <xdr:nvPicPr>
        <xdr:cNvPr id="5" name="Imagem 4">
          <a:extLst>
            <a:ext uri="{FF2B5EF4-FFF2-40B4-BE49-F238E27FC236}">
              <a16:creationId xmlns:a16="http://schemas.microsoft.com/office/drawing/2014/main" id="{565DE57D-D166-C7EB-9DAB-A5CFF1BC4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30200" y="5229225"/>
          <a:ext cx="1371600" cy="13716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5C995-1170-4B33-B66D-40449B25975B}">
  <sheetPr codeName="Planilha1"/>
  <dimension ref="A1:AC104"/>
  <sheetViews>
    <sheetView workbookViewId="0">
      <selection activeCell="V25" sqref="V25"/>
    </sheetView>
  </sheetViews>
  <sheetFormatPr defaultRowHeight="15" x14ac:dyDescent="0.25"/>
  <cols>
    <col min="1" max="3" width="9.140625" style="3"/>
    <col min="22" max="22" width="10.85546875" customWidth="1"/>
    <col min="23" max="23" width="16.28515625" bestFit="1" customWidth="1"/>
    <col min="24" max="24" width="7.42578125" bestFit="1" customWidth="1"/>
    <col min="25" max="25" width="9.85546875" bestFit="1" customWidth="1"/>
  </cols>
  <sheetData>
    <row r="1" spans="1:29" ht="20.25" x14ac:dyDescent="0.25">
      <c r="A1" s="1" t="s">
        <v>1</v>
      </c>
      <c r="B1" s="1" t="s">
        <v>2</v>
      </c>
      <c r="C1" s="1" t="s">
        <v>3</v>
      </c>
      <c r="U1" s="16"/>
      <c r="V1" s="32" t="s">
        <v>4</v>
      </c>
      <c r="W1" s="33"/>
      <c r="X1" s="16"/>
      <c r="Y1" s="16"/>
      <c r="Z1" s="16"/>
      <c r="AA1" s="16"/>
      <c r="AB1" s="16"/>
      <c r="AC1" s="16"/>
    </row>
    <row r="2" spans="1:29" ht="23.25" x14ac:dyDescent="0.25">
      <c r="A2" s="2">
        <v>0</v>
      </c>
      <c r="B2" s="2">
        <f t="shared" ref="B2:B12" si="0">SIN(2*PI()*($W$2*C2-A2/$W$3))</f>
        <v>0.58579785745643898</v>
      </c>
      <c r="C2" s="8">
        <v>4.00390625</v>
      </c>
      <c r="U2" s="16"/>
      <c r="V2" s="4" t="s">
        <v>5</v>
      </c>
      <c r="W2" s="5">
        <v>0.1</v>
      </c>
      <c r="X2" s="16"/>
      <c r="Y2" s="16"/>
      <c r="Z2" s="16"/>
      <c r="AA2" s="16"/>
      <c r="AB2" s="16"/>
      <c r="AC2" s="16"/>
    </row>
    <row r="3" spans="1:29" ht="23.25" x14ac:dyDescent="0.25">
      <c r="A3" s="2">
        <f>$W$3/10</f>
        <v>0.1</v>
      </c>
      <c r="B3" s="2">
        <f t="shared" si="0"/>
        <v>0.95029521069784439</v>
      </c>
      <c r="C3" s="8">
        <v>4.00390625</v>
      </c>
      <c r="U3" s="16"/>
      <c r="V3" s="9" t="s">
        <v>6</v>
      </c>
      <c r="W3" s="6">
        <v>1</v>
      </c>
      <c r="X3" s="16"/>
      <c r="Y3" s="16"/>
      <c r="Z3" s="16"/>
      <c r="AA3" s="16"/>
      <c r="AB3" s="16"/>
      <c r="AC3" s="16"/>
    </row>
    <row r="4" spans="1:29" ht="23.25" x14ac:dyDescent="0.25">
      <c r="A4" s="2">
        <f>A3+$A$3</f>
        <v>0.2</v>
      </c>
      <c r="B4" s="2">
        <f t="shared" si="0"/>
        <v>0.95181209279891599</v>
      </c>
      <c r="C4" s="8">
        <v>4.00390625</v>
      </c>
      <c r="U4" s="16"/>
      <c r="V4" s="4" t="s">
        <v>7</v>
      </c>
      <c r="W4" s="7">
        <v>4</v>
      </c>
      <c r="X4" s="16"/>
      <c r="Y4" s="16"/>
      <c r="Z4" s="16"/>
      <c r="AA4" s="16"/>
      <c r="AB4" s="16"/>
      <c r="AC4" s="16"/>
    </row>
    <row r="5" spans="1:29" x14ac:dyDescent="0.25">
      <c r="A5" s="2">
        <f t="shared" ref="A5:A22" si="1">A4+$A$3</f>
        <v>0.30000000000000004</v>
      </c>
      <c r="B5" s="2">
        <f t="shared" si="0"/>
        <v>0.58976910635397051</v>
      </c>
      <c r="C5" s="8">
        <v>4.00390625</v>
      </c>
      <c r="U5" s="16"/>
      <c r="V5" s="16"/>
      <c r="W5" s="16"/>
      <c r="X5" s="16"/>
      <c r="Y5" s="16"/>
      <c r="Z5" s="16"/>
      <c r="AA5" s="16"/>
      <c r="AB5" s="16"/>
      <c r="AC5" s="16"/>
    </row>
    <row r="6" spans="1:29" x14ac:dyDescent="0.25">
      <c r="A6" s="2">
        <f t="shared" si="1"/>
        <v>0.4</v>
      </c>
      <c r="B6" s="2">
        <f t="shared" si="0"/>
        <v>2.4543667964601521E-3</v>
      </c>
      <c r="C6" s="8">
        <v>4.00390625</v>
      </c>
      <c r="U6" s="16"/>
      <c r="V6" s="16"/>
      <c r="W6" s="16"/>
      <c r="X6" s="16"/>
      <c r="Y6" s="16"/>
      <c r="Z6" s="16"/>
      <c r="AA6" s="16"/>
      <c r="AB6" s="16"/>
      <c r="AC6" s="16"/>
    </row>
    <row r="7" spans="1:29" x14ac:dyDescent="0.25">
      <c r="A7" s="2">
        <f t="shared" si="1"/>
        <v>0.5</v>
      </c>
      <c r="B7" s="2">
        <f t="shared" si="0"/>
        <v>-0.58579785745643886</v>
      </c>
      <c r="C7" s="8">
        <v>4.00390625</v>
      </c>
      <c r="U7" s="16"/>
      <c r="V7" s="16"/>
      <c r="W7" s="16"/>
      <c r="X7" s="16"/>
      <c r="Y7" s="16"/>
      <c r="Z7" s="16"/>
      <c r="AA7" s="16"/>
      <c r="AB7" s="16"/>
      <c r="AC7" s="16"/>
    </row>
    <row r="8" spans="1:29" x14ac:dyDescent="0.25">
      <c r="A8" s="2">
        <f t="shared" si="1"/>
        <v>0.6</v>
      </c>
      <c r="B8" s="2">
        <f t="shared" si="0"/>
        <v>-0.95029521069784428</v>
      </c>
      <c r="C8" s="8">
        <v>4.00390625</v>
      </c>
      <c r="U8" s="16"/>
      <c r="V8" s="16"/>
      <c r="W8" s="16"/>
      <c r="X8" s="16"/>
      <c r="Y8" s="16"/>
      <c r="Z8" s="16"/>
      <c r="AA8" s="16"/>
      <c r="AB8" s="16"/>
      <c r="AC8" s="16"/>
    </row>
    <row r="9" spans="1:29" x14ac:dyDescent="0.25">
      <c r="A9" s="2">
        <f t="shared" si="1"/>
        <v>0.7</v>
      </c>
      <c r="B9" s="2">
        <f t="shared" si="0"/>
        <v>-0.95181209279891621</v>
      </c>
      <c r="C9" s="8">
        <v>4.00390625</v>
      </c>
      <c r="U9" s="16"/>
      <c r="V9" s="16"/>
      <c r="W9" s="16"/>
      <c r="X9" s="16"/>
      <c r="Y9" s="16"/>
      <c r="Z9" s="16"/>
      <c r="AA9" s="16"/>
      <c r="AB9" s="16"/>
      <c r="AC9" s="16"/>
    </row>
    <row r="10" spans="1:29" x14ac:dyDescent="0.25">
      <c r="A10" s="2">
        <f t="shared" si="1"/>
        <v>0.79999999999999993</v>
      </c>
      <c r="B10" s="2">
        <f t="shared" si="0"/>
        <v>-0.58976910635397117</v>
      </c>
      <c r="C10" s="8">
        <v>4.00390625</v>
      </c>
      <c r="U10" s="16"/>
      <c r="V10" s="16"/>
      <c r="W10" s="16"/>
      <c r="X10" s="16"/>
      <c r="Y10" s="16"/>
      <c r="Z10" s="16"/>
      <c r="AA10" s="16"/>
      <c r="AB10" s="16"/>
      <c r="AC10" s="16"/>
    </row>
    <row r="11" spans="1:29" x14ac:dyDescent="0.25">
      <c r="A11" s="2">
        <f t="shared" si="1"/>
        <v>0.89999999999999991</v>
      </c>
      <c r="B11" s="2">
        <f t="shared" si="0"/>
        <v>-2.454366796460761E-3</v>
      </c>
      <c r="C11" s="8">
        <v>4.00390625</v>
      </c>
      <c r="U11" s="16"/>
      <c r="V11" s="16"/>
      <c r="W11" s="16"/>
      <c r="X11" s="16"/>
      <c r="Y11" s="16"/>
      <c r="Z11" s="16"/>
      <c r="AA11" s="16"/>
      <c r="AB11" s="16"/>
      <c r="AC11" s="16"/>
    </row>
    <row r="12" spans="1:29" x14ac:dyDescent="0.25">
      <c r="A12" s="2">
        <f t="shared" si="1"/>
        <v>0.99999999999999989</v>
      </c>
      <c r="B12" s="2">
        <f t="shared" si="0"/>
        <v>0.58579785745643809</v>
      </c>
      <c r="C12" s="8">
        <v>4.00390625</v>
      </c>
      <c r="U12" s="16"/>
      <c r="V12" s="16"/>
      <c r="W12" s="16"/>
      <c r="X12" s="16"/>
      <c r="Y12" s="16"/>
      <c r="Z12" s="16"/>
      <c r="AA12" s="16"/>
      <c r="AB12" s="16"/>
      <c r="AC12" s="16"/>
    </row>
    <row r="13" spans="1:29" x14ac:dyDescent="0.25">
      <c r="A13" s="2">
        <f t="shared" si="1"/>
        <v>1.0999999999999999</v>
      </c>
      <c r="B13" s="2">
        <f t="shared" ref="B13:B22" si="2">SIN(2*PI()*($W$2*C13-A13/$W$3))</f>
        <v>0.95029521069784406</v>
      </c>
      <c r="C13" s="8">
        <v>4.00390625</v>
      </c>
      <c r="U13" s="16"/>
      <c r="V13" s="16"/>
      <c r="W13" s="16"/>
      <c r="X13" s="16"/>
      <c r="Y13" s="16"/>
      <c r="Z13" s="16"/>
      <c r="AA13" s="16"/>
      <c r="AB13" s="16"/>
      <c r="AC13" s="16"/>
    </row>
    <row r="14" spans="1:29" x14ac:dyDescent="0.25">
      <c r="A14" s="2">
        <f t="shared" si="1"/>
        <v>1.2</v>
      </c>
      <c r="B14" s="2">
        <f t="shared" si="2"/>
        <v>0.9518120927989161</v>
      </c>
      <c r="C14" s="8">
        <v>4.00390625</v>
      </c>
      <c r="U14" s="16"/>
      <c r="V14" s="16"/>
      <c r="W14" s="16"/>
      <c r="X14" s="16"/>
      <c r="Y14" s="16"/>
      <c r="Z14" s="16"/>
      <c r="AA14" s="16"/>
      <c r="AB14" s="16"/>
      <c r="AC14" s="16"/>
    </row>
    <row r="15" spans="1:29" x14ac:dyDescent="0.25">
      <c r="A15" s="2">
        <f t="shared" si="1"/>
        <v>1.3</v>
      </c>
      <c r="B15" s="2">
        <f t="shared" si="2"/>
        <v>0.58976910635397095</v>
      </c>
      <c r="C15" s="8">
        <v>4.00390625</v>
      </c>
      <c r="U15" s="16"/>
      <c r="V15" s="16"/>
      <c r="W15" s="16"/>
      <c r="X15" s="16"/>
      <c r="Y15" s="16"/>
      <c r="Z15" s="16"/>
      <c r="AA15" s="16"/>
      <c r="AB15" s="16"/>
      <c r="AC15" s="16"/>
    </row>
    <row r="16" spans="1:29" x14ac:dyDescent="0.25">
      <c r="A16" s="2">
        <f t="shared" si="1"/>
        <v>1.4000000000000001</v>
      </c>
      <c r="B16" s="2">
        <f t="shared" si="2"/>
        <v>2.4543667964595514E-3</v>
      </c>
      <c r="C16" s="8">
        <v>4.00390625</v>
      </c>
      <c r="U16" s="16"/>
      <c r="V16" s="16"/>
      <c r="W16" s="16"/>
      <c r="X16" s="16"/>
      <c r="Y16" s="16"/>
      <c r="Z16" s="16"/>
      <c r="AA16" s="16"/>
      <c r="AB16" s="16"/>
      <c r="AC16" s="16"/>
    </row>
    <row r="17" spans="1:29" x14ac:dyDescent="0.25">
      <c r="A17" s="2">
        <f t="shared" si="1"/>
        <v>1.5000000000000002</v>
      </c>
      <c r="B17" s="2">
        <f t="shared" si="2"/>
        <v>-0.58579785745643942</v>
      </c>
      <c r="C17" s="8">
        <v>4.00390625</v>
      </c>
      <c r="U17" s="16"/>
      <c r="V17" s="16"/>
      <c r="W17" s="16"/>
      <c r="X17" s="16"/>
      <c r="Y17" s="16"/>
      <c r="Z17" s="16"/>
      <c r="AA17" s="16"/>
      <c r="AB17" s="16"/>
      <c r="AC17" s="16"/>
    </row>
    <row r="18" spans="1:29" x14ac:dyDescent="0.25">
      <c r="A18" s="2">
        <f t="shared" si="1"/>
        <v>1.6000000000000003</v>
      </c>
      <c r="B18" s="2">
        <f t="shared" si="2"/>
        <v>-0.95029521069784484</v>
      </c>
      <c r="C18" s="8">
        <v>4.00390625</v>
      </c>
      <c r="U18" s="16"/>
      <c r="V18" s="16"/>
      <c r="W18" s="16"/>
      <c r="X18" s="16"/>
      <c r="Y18" s="16"/>
      <c r="Z18" s="16"/>
      <c r="AA18" s="16"/>
      <c r="AB18" s="16"/>
      <c r="AC18" s="16"/>
    </row>
    <row r="19" spans="1:29" x14ac:dyDescent="0.25">
      <c r="A19" s="2">
        <f t="shared" si="1"/>
        <v>1.7000000000000004</v>
      </c>
      <c r="B19" s="2">
        <f t="shared" si="2"/>
        <v>-0.95181209279891554</v>
      </c>
      <c r="C19" s="8">
        <v>4.00390625</v>
      </c>
      <c r="U19" s="16"/>
      <c r="V19" s="16"/>
      <c r="W19" s="16"/>
      <c r="X19" s="16"/>
      <c r="Y19" s="16"/>
      <c r="Z19" s="16"/>
      <c r="AA19" s="16"/>
      <c r="AB19" s="16"/>
      <c r="AC19" s="16"/>
    </row>
    <row r="20" spans="1:29" x14ac:dyDescent="0.25">
      <c r="A20" s="2">
        <f t="shared" si="1"/>
        <v>1.8000000000000005</v>
      </c>
      <c r="B20" s="2">
        <f t="shared" si="2"/>
        <v>-0.58976910635396818</v>
      </c>
      <c r="C20" s="8">
        <v>4.00390625</v>
      </c>
      <c r="U20" s="16"/>
      <c r="V20" s="16"/>
      <c r="W20" s="16"/>
      <c r="X20" s="16"/>
      <c r="Y20" s="16"/>
      <c r="Z20" s="16"/>
      <c r="AA20" s="16"/>
      <c r="AB20" s="16"/>
      <c r="AC20" s="16"/>
    </row>
    <row r="21" spans="1:29" x14ac:dyDescent="0.25">
      <c r="A21" s="2">
        <f t="shared" si="1"/>
        <v>1.9000000000000006</v>
      </c>
      <c r="B21" s="2">
        <f t="shared" si="2"/>
        <v>-2.4543667964570092E-3</v>
      </c>
      <c r="C21" s="8">
        <v>4.00390625</v>
      </c>
      <c r="U21" s="16"/>
      <c r="V21" s="16"/>
      <c r="W21" s="16"/>
      <c r="X21" s="16"/>
      <c r="Y21" s="16"/>
      <c r="Z21" s="16"/>
      <c r="AA21" s="16"/>
      <c r="AB21" s="16"/>
      <c r="AC21" s="16"/>
    </row>
    <row r="22" spans="1:29" x14ac:dyDescent="0.25">
      <c r="A22" s="2">
        <f t="shared" si="1"/>
        <v>2.0000000000000004</v>
      </c>
      <c r="B22" s="2">
        <f t="shared" si="2"/>
        <v>0.58579785745644153</v>
      </c>
      <c r="C22" s="8">
        <v>4.00390625</v>
      </c>
      <c r="U22" s="16"/>
      <c r="V22" s="16"/>
      <c r="W22" s="16"/>
      <c r="X22" s="16"/>
      <c r="Y22" s="16"/>
      <c r="Z22" s="16"/>
      <c r="AA22" s="16"/>
      <c r="AB22" s="16"/>
      <c r="AC22" s="16"/>
    </row>
    <row r="23" spans="1:29" x14ac:dyDescent="0.25">
      <c r="A23" s="31"/>
      <c r="B23" s="31"/>
      <c r="C23" s="31"/>
      <c r="U23" s="16"/>
      <c r="V23" s="16"/>
      <c r="W23" s="16"/>
      <c r="X23" s="16"/>
      <c r="Y23" s="16"/>
      <c r="Z23" s="16"/>
      <c r="AA23" s="16"/>
      <c r="AB23" s="16"/>
      <c r="AC23" s="16"/>
    </row>
    <row r="24" spans="1:29" x14ac:dyDescent="0.25">
      <c r="A24" s="31"/>
      <c r="B24" s="31"/>
      <c r="C24" s="8"/>
      <c r="U24" s="16"/>
      <c r="V24" s="16"/>
      <c r="W24" s="16"/>
      <c r="X24" s="16"/>
      <c r="Y24" s="16"/>
      <c r="Z24" s="16"/>
      <c r="AA24" s="16"/>
      <c r="AB24" s="16"/>
      <c r="AC24" s="16"/>
    </row>
    <row r="25" spans="1:29" x14ac:dyDescent="0.25">
      <c r="A25" s="2"/>
      <c r="B25" s="2"/>
      <c r="C25" s="2"/>
      <c r="U25" s="16"/>
      <c r="V25" s="16"/>
      <c r="W25" s="16"/>
      <c r="X25" s="16"/>
      <c r="Y25" s="16"/>
      <c r="Z25" s="16"/>
      <c r="AA25" s="16"/>
      <c r="AB25" s="16"/>
      <c r="AC25" s="16"/>
    </row>
    <row r="26" spans="1:29" x14ac:dyDescent="0.25">
      <c r="A26" s="2"/>
      <c r="B26" s="2"/>
      <c r="C26" s="2"/>
      <c r="U26" s="16"/>
      <c r="V26" s="16"/>
      <c r="W26" s="16"/>
      <c r="X26" s="16"/>
      <c r="Y26" s="16"/>
      <c r="Z26" s="16"/>
      <c r="AA26" s="16"/>
      <c r="AB26" s="16"/>
      <c r="AC26" s="16"/>
    </row>
    <row r="27" spans="1:29" x14ac:dyDescent="0.25">
      <c r="A27" s="2"/>
      <c r="B27" s="2"/>
      <c r="C27" s="2"/>
      <c r="U27" s="16"/>
      <c r="V27" s="16"/>
      <c r="W27" s="16"/>
      <c r="X27" s="16"/>
      <c r="Y27" s="16"/>
      <c r="Z27" s="16"/>
      <c r="AA27" s="16"/>
      <c r="AB27" s="16"/>
      <c r="AC27" s="16"/>
    </row>
    <row r="28" spans="1:29" x14ac:dyDescent="0.25">
      <c r="A28" s="2"/>
      <c r="B28" s="2"/>
      <c r="C28" s="2"/>
      <c r="U28" s="16"/>
      <c r="V28" s="16"/>
      <c r="W28" s="16"/>
      <c r="X28" s="16"/>
      <c r="Y28" s="16"/>
      <c r="Z28" s="16"/>
      <c r="AA28" s="16"/>
      <c r="AB28" s="16"/>
      <c r="AC28" s="16"/>
    </row>
    <row r="29" spans="1:29" x14ac:dyDescent="0.25">
      <c r="A29" s="2"/>
      <c r="B29" s="2"/>
      <c r="C29" s="2"/>
      <c r="U29" s="16"/>
      <c r="V29" s="16"/>
      <c r="W29" s="16"/>
      <c r="X29" s="16"/>
      <c r="Y29" s="16"/>
      <c r="Z29" s="16"/>
      <c r="AA29" s="16"/>
      <c r="AB29" s="16"/>
      <c r="AC29" s="16"/>
    </row>
    <row r="30" spans="1:29" x14ac:dyDescent="0.25">
      <c r="A30" s="2"/>
      <c r="B30" s="2"/>
      <c r="C30" s="2"/>
      <c r="U30" s="16"/>
      <c r="V30" s="16"/>
      <c r="W30" s="16"/>
      <c r="X30" s="16"/>
      <c r="Y30" s="16"/>
      <c r="Z30" s="16"/>
      <c r="AA30" s="16"/>
      <c r="AB30" s="16"/>
      <c r="AC30" s="16"/>
    </row>
    <row r="31" spans="1:29" x14ac:dyDescent="0.25">
      <c r="A31" s="2"/>
      <c r="B31" s="2"/>
      <c r="C31" s="2"/>
      <c r="U31" s="16"/>
      <c r="V31" s="16"/>
      <c r="W31" s="16"/>
      <c r="X31" s="16"/>
      <c r="Y31" s="16"/>
      <c r="Z31" s="16"/>
      <c r="AA31" s="16"/>
      <c r="AB31" s="16"/>
      <c r="AC31" s="16"/>
    </row>
    <row r="32" spans="1:29" x14ac:dyDescent="0.25">
      <c r="A32" s="2"/>
      <c r="B32" s="2"/>
      <c r="C32" s="2"/>
      <c r="U32" s="16"/>
      <c r="V32" s="16"/>
      <c r="W32" s="16"/>
      <c r="X32" s="16"/>
      <c r="Y32" s="16"/>
      <c r="Z32" s="16"/>
      <c r="AA32" s="16"/>
      <c r="AB32" s="16"/>
      <c r="AC32" s="16"/>
    </row>
    <row r="33" spans="1:29" x14ac:dyDescent="0.25">
      <c r="A33" s="2"/>
      <c r="B33" s="2"/>
      <c r="C33" s="2"/>
      <c r="U33" s="16"/>
      <c r="V33" s="16"/>
      <c r="W33" s="16"/>
      <c r="X33" s="16"/>
      <c r="Y33" s="16"/>
      <c r="Z33" s="16"/>
      <c r="AA33" s="16"/>
      <c r="AB33" s="16"/>
      <c r="AC33" s="16"/>
    </row>
    <row r="34" spans="1:29" x14ac:dyDescent="0.25">
      <c r="A34" s="2"/>
      <c r="B34" s="2"/>
      <c r="C34" s="2"/>
      <c r="U34" s="16"/>
      <c r="V34" s="16"/>
      <c r="W34" s="16"/>
      <c r="X34" s="16"/>
      <c r="Y34" s="16"/>
      <c r="Z34" s="16"/>
      <c r="AA34" s="16"/>
      <c r="AB34" s="16"/>
      <c r="AC34" s="16"/>
    </row>
    <row r="35" spans="1:29" x14ac:dyDescent="0.25">
      <c r="A35" s="2"/>
      <c r="B35" s="2"/>
      <c r="C35" s="2"/>
    </row>
    <row r="36" spans="1:29" x14ac:dyDescent="0.25">
      <c r="A36" s="2"/>
      <c r="B36" s="2"/>
      <c r="C36" s="2"/>
    </row>
    <row r="37" spans="1:29" x14ac:dyDescent="0.25">
      <c r="A37" s="2"/>
      <c r="B37" s="2"/>
      <c r="C37" s="2"/>
    </row>
    <row r="38" spans="1:29" x14ac:dyDescent="0.25">
      <c r="A38" s="2"/>
      <c r="B38" s="2"/>
      <c r="C38" s="2"/>
    </row>
    <row r="39" spans="1:29" x14ac:dyDescent="0.25">
      <c r="A39" s="2"/>
      <c r="B39" s="2"/>
      <c r="C39" s="2"/>
    </row>
    <row r="40" spans="1:29" x14ac:dyDescent="0.25">
      <c r="A40" s="2"/>
      <c r="B40" s="2"/>
      <c r="C40" s="2"/>
    </row>
    <row r="41" spans="1:29" x14ac:dyDescent="0.25">
      <c r="A41" s="2"/>
      <c r="B41" s="2"/>
      <c r="C41" s="2"/>
    </row>
    <row r="42" spans="1:29" x14ac:dyDescent="0.25">
      <c r="A42" s="2"/>
      <c r="B42" s="2"/>
      <c r="C42" s="2"/>
    </row>
    <row r="43" spans="1:29" x14ac:dyDescent="0.25">
      <c r="A43" s="2"/>
      <c r="B43" s="2"/>
      <c r="C43" s="2"/>
    </row>
    <row r="44" spans="1:29" x14ac:dyDescent="0.25">
      <c r="A44" s="2"/>
      <c r="B44" s="2"/>
      <c r="C44" s="2"/>
    </row>
    <row r="45" spans="1:29" x14ac:dyDescent="0.25">
      <c r="A45" s="2"/>
      <c r="B45" s="2"/>
      <c r="C45" s="2"/>
    </row>
    <row r="46" spans="1:29" x14ac:dyDescent="0.25">
      <c r="A46" s="2"/>
      <c r="B46" s="2"/>
      <c r="C46" s="2"/>
    </row>
    <row r="47" spans="1:29" x14ac:dyDescent="0.25">
      <c r="A47" s="2"/>
      <c r="B47" s="2"/>
      <c r="C47" s="2"/>
    </row>
    <row r="48" spans="1:29" x14ac:dyDescent="0.25">
      <c r="A48" s="2"/>
      <c r="B48" s="2"/>
      <c r="C48" s="2"/>
    </row>
    <row r="49" spans="1:3" x14ac:dyDescent="0.25">
      <c r="A49" s="2"/>
      <c r="B49" s="2"/>
      <c r="C49" s="2"/>
    </row>
    <row r="50" spans="1:3" x14ac:dyDescent="0.25">
      <c r="A50" s="2"/>
      <c r="B50" s="2"/>
      <c r="C50" s="2"/>
    </row>
    <row r="51" spans="1:3" x14ac:dyDescent="0.25">
      <c r="A51" s="2"/>
      <c r="B51" s="2"/>
      <c r="C51" s="2"/>
    </row>
    <row r="52" spans="1:3" x14ac:dyDescent="0.25">
      <c r="A52" s="2"/>
      <c r="B52" s="2"/>
      <c r="C52" s="2"/>
    </row>
    <row r="53" spans="1:3" x14ac:dyDescent="0.25">
      <c r="A53" s="2"/>
      <c r="B53" s="2"/>
      <c r="C53" s="2"/>
    </row>
    <row r="54" spans="1:3" x14ac:dyDescent="0.25">
      <c r="A54" s="2"/>
      <c r="B54" s="2"/>
      <c r="C54" s="2"/>
    </row>
    <row r="55" spans="1:3" x14ac:dyDescent="0.25">
      <c r="A55" s="2"/>
      <c r="B55" s="2"/>
      <c r="C55" s="2"/>
    </row>
    <row r="56" spans="1:3" x14ac:dyDescent="0.25">
      <c r="A56" s="2"/>
      <c r="B56" s="2"/>
      <c r="C56" s="2"/>
    </row>
    <row r="57" spans="1:3" x14ac:dyDescent="0.25">
      <c r="A57" s="2"/>
      <c r="B57" s="2"/>
      <c r="C57" s="2"/>
    </row>
    <row r="58" spans="1:3" x14ac:dyDescent="0.25">
      <c r="A58" s="2"/>
      <c r="B58" s="2"/>
      <c r="C58" s="2"/>
    </row>
    <row r="59" spans="1:3" x14ac:dyDescent="0.25">
      <c r="A59" s="2"/>
      <c r="B59" s="2"/>
      <c r="C59" s="2"/>
    </row>
    <row r="60" spans="1:3" x14ac:dyDescent="0.25">
      <c r="A60" s="2"/>
      <c r="B60" s="2"/>
      <c r="C60" s="2"/>
    </row>
    <row r="61" spans="1:3" x14ac:dyDescent="0.25">
      <c r="A61" s="2"/>
      <c r="B61" s="2"/>
      <c r="C61" s="2"/>
    </row>
    <row r="62" spans="1:3" x14ac:dyDescent="0.25">
      <c r="A62" s="2"/>
      <c r="B62" s="2"/>
      <c r="C62" s="2"/>
    </row>
    <row r="63" spans="1:3" x14ac:dyDescent="0.25">
      <c r="A63" s="2"/>
      <c r="B63" s="2"/>
      <c r="C63" s="2"/>
    </row>
    <row r="64" spans="1:3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  <row r="102" spans="1:3" x14ac:dyDescent="0.25">
      <c r="A102" s="2"/>
      <c r="B102" s="2"/>
      <c r="C102" s="2"/>
    </row>
    <row r="104" spans="1:3" x14ac:dyDescent="0.25">
      <c r="A104" s="2"/>
    </row>
  </sheetData>
  <mergeCells count="3">
    <mergeCell ref="A23:C23"/>
    <mergeCell ref="A24:B24"/>
    <mergeCell ref="V1:W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850B-42B6-4565-BA3D-63B5C25E2370}">
  <sheetPr codeName="Planilha2"/>
  <dimension ref="A1:AB104"/>
  <sheetViews>
    <sheetView tabSelected="1" workbookViewId="0">
      <selection activeCell="Y18" sqref="Y18"/>
    </sheetView>
  </sheetViews>
  <sheetFormatPr defaultRowHeight="15" x14ac:dyDescent="0.25"/>
  <cols>
    <col min="1" max="3" width="9.140625" style="3"/>
    <col min="22" max="22" width="18.7109375" customWidth="1"/>
    <col min="23" max="23" width="16.5703125" bestFit="1" customWidth="1"/>
    <col min="24" max="24" width="7.42578125" bestFit="1" customWidth="1"/>
    <col min="25" max="25" width="9.85546875" bestFit="1" customWidth="1"/>
  </cols>
  <sheetData>
    <row r="1" spans="1:28" ht="21" thickBot="1" x14ac:dyDescent="0.3">
      <c r="A1" s="28" t="s">
        <v>1</v>
      </c>
      <c r="B1" s="29" t="s">
        <v>2</v>
      </c>
      <c r="C1" s="30" t="s">
        <v>3</v>
      </c>
      <c r="U1" s="16"/>
      <c r="V1" s="10" t="s">
        <v>0</v>
      </c>
      <c r="W1" s="11">
        <v>31</v>
      </c>
      <c r="X1" s="16"/>
      <c r="Y1" s="16"/>
      <c r="Z1" s="16"/>
      <c r="AA1" s="16"/>
      <c r="AB1" s="16"/>
    </row>
    <row r="2" spans="1:28" ht="23.25" x14ac:dyDescent="0.25">
      <c r="A2" s="25">
        <v>0</v>
      </c>
      <c r="B2" s="26">
        <f>IFERROR(SIN(2*PI()*($W$2*C2-A2/$W$3)),0)</f>
        <v>-0.97831737071962577</v>
      </c>
      <c r="C2" s="27">
        <v>10.0390625</v>
      </c>
      <c r="U2" s="16"/>
      <c r="V2" s="11" t="s">
        <v>5</v>
      </c>
      <c r="W2" s="12">
        <v>5.55</v>
      </c>
      <c r="X2" s="16"/>
      <c r="Y2" s="16"/>
      <c r="Z2" s="16"/>
      <c r="AA2" s="16"/>
      <c r="AB2" s="16"/>
    </row>
    <row r="3" spans="1:28" ht="23.25" x14ac:dyDescent="0.25">
      <c r="A3" s="20">
        <f>$W$3/10</f>
        <v>0.17499999999999999</v>
      </c>
      <c r="B3" s="19">
        <f t="shared" ref="B3:B12" si="0">IFERROR(SIN(2*PI()*($W$2*C3-A3/$W$3)),0)</f>
        <v>-0.66973836629657946</v>
      </c>
      <c r="C3" s="21">
        <v>10.0390625</v>
      </c>
      <c r="U3" s="16"/>
      <c r="V3" s="13" t="s">
        <v>6</v>
      </c>
      <c r="W3" s="14">
        <v>1.75</v>
      </c>
      <c r="X3" s="16"/>
      <c r="Y3" s="16"/>
      <c r="Z3" s="16"/>
      <c r="AA3" s="16"/>
      <c r="AB3" s="16"/>
    </row>
    <row r="4" spans="1:28" ht="23.25" x14ac:dyDescent="0.25">
      <c r="A4" s="20">
        <f>A3+$A$3</f>
        <v>0.35</v>
      </c>
      <c r="B4" s="19">
        <f t="shared" si="0"/>
        <v>-0.10534206951809823</v>
      </c>
      <c r="C4" s="21">
        <v>10.0390625</v>
      </c>
      <c r="U4" s="16"/>
      <c r="V4" s="11" t="s">
        <v>8</v>
      </c>
      <c r="W4" s="15">
        <v>10</v>
      </c>
      <c r="X4" s="16"/>
      <c r="Y4" s="16"/>
      <c r="Z4" s="16"/>
      <c r="AA4" s="16"/>
      <c r="AB4" s="16"/>
    </row>
    <row r="5" spans="1:28" ht="23.25" x14ac:dyDescent="0.25">
      <c r="A5" s="20">
        <f t="shared" ref="A5:A22" si="1">A4+$A$3</f>
        <v>0.52499999999999991</v>
      </c>
      <c r="B5" s="19">
        <f t="shared" si="0"/>
        <v>0.49929131737103921</v>
      </c>
      <c r="C5" s="21">
        <v>10.0390625</v>
      </c>
      <c r="U5" s="16"/>
      <c r="V5" s="11" t="s">
        <v>9</v>
      </c>
      <c r="W5" s="18">
        <v>9.7100000000000009</v>
      </c>
      <c r="X5" s="16"/>
      <c r="Y5" s="16"/>
      <c r="Z5" s="16"/>
      <c r="AA5" s="16"/>
      <c r="AB5" s="16"/>
    </row>
    <row r="6" spans="1:28" x14ac:dyDescent="0.25">
      <c r="A6" s="20">
        <f t="shared" si="1"/>
        <v>0.7</v>
      </c>
      <c r="B6" s="19">
        <f t="shared" si="0"/>
        <v>0.91321239131218823</v>
      </c>
      <c r="C6" s="21">
        <v>10.0390625</v>
      </c>
      <c r="U6" s="16"/>
      <c r="V6" s="16"/>
      <c r="W6" s="16"/>
      <c r="X6" s="16"/>
      <c r="Y6" s="16"/>
      <c r="Z6" s="16"/>
      <c r="AA6" s="16"/>
      <c r="AB6" s="16"/>
    </row>
    <row r="7" spans="1:28" x14ac:dyDescent="0.25">
      <c r="A7" s="20">
        <f t="shared" si="1"/>
        <v>0.875</v>
      </c>
      <c r="B7" s="19">
        <f t="shared" si="0"/>
        <v>0.97831737071962799</v>
      </c>
      <c r="C7" s="21">
        <v>10.0390625</v>
      </c>
      <c r="U7" s="16"/>
      <c r="V7" s="16"/>
      <c r="W7" s="16"/>
      <c r="X7" s="16"/>
      <c r="Y7" s="16"/>
      <c r="Z7" s="16"/>
      <c r="AA7" s="16"/>
      <c r="AB7" s="16"/>
    </row>
    <row r="8" spans="1:28" x14ac:dyDescent="0.25">
      <c r="A8" s="20">
        <f t="shared" si="1"/>
        <v>1.05</v>
      </c>
      <c r="B8" s="19">
        <f t="shared" si="0"/>
        <v>0.66973836629658745</v>
      </c>
      <c r="C8" s="21">
        <v>10.0390625</v>
      </c>
      <c r="U8" s="16"/>
      <c r="V8" s="16"/>
      <c r="W8" s="16"/>
      <c r="X8" s="16"/>
      <c r="Y8" s="16"/>
      <c r="Z8" s="16"/>
      <c r="AA8" s="16"/>
      <c r="AB8" s="16"/>
    </row>
    <row r="9" spans="1:28" x14ac:dyDescent="0.25">
      <c r="A9" s="20">
        <f t="shared" si="1"/>
        <v>1.2250000000000001</v>
      </c>
      <c r="B9" s="19">
        <f t="shared" si="0"/>
        <v>0.10534206951810896</v>
      </c>
      <c r="C9" s="21">
        <v>10.0390625</v>
      </c>
      <c r="U9" s="16"/>
      <c r="V9" s="16"/>
      <c r="W9" s="16"/>
      <c r="X9" s="16"/>
      <c r="Y9" s="16"/>
      <c r="Z9" s="16"/>
      <c r="AA9" s="16"/>
      <c r="AB9" s="16"/>
    </row>
    <row r="10" spans="1:28" x14ac:dyDescent="0.25">
      <c r="A10" s="20">
        <f t="shared" si="1"/>
        <v>1.4000000000000001</v>
      </c>
      <c r="B10" s="19">
        <f t="shared" si="0"/>
        <v>-0.49929131737102989</v>
      </c>
      <c r="C10" s="21">
        <v>10.0390625</v>
      </c>
      <c r="U10" s="16"/>
      <c r="V10" s="16"/>
      <c r="W10" s="16"/>
      <c r="X10" s="16"/>
      <c r="Y10" s="16"/>
      <c r="Z10" s="16"/>
      <c r="AA10" s="16"/>
      <c r="AB10" s="16"/>
    </row>
    <row r="11" spans="1:28" x14ac:dyDescent="0.25">
      <c r="A11" s="20">
        <f t="shared" si="1"/>
        <v>1.5750000000000002</v>
      </c>
      <c r="B11" s="19">
        <f t="shared" si="0"/>
        <v>-0.91321239131218379</v>
      </c>
      <c r="C11" s="21">
        <v>10.0390625</v>
      </c>
      <c r="U11" s="16"/>
      <c r="V11" s="16"/>
      <c r="W11" s="16"/>
      <c r="X11" s="16"/>
      <c r="Y11" s="16"/>
      <c r="Z11" s="16"/>
      <c r="AA11" s="16"/>
      <c r="AB11" s="16"/>
    </row>
    <row r="12" spans="1:28" x14ac:dyDescent="0.25">
      <c r="A12" s="20">
        <f t="shared" si="1"/>
        <v>1.7500000000000002</v>
      </c>
      <c r="B12" s="19">
        <f t="shared" si="0"/>
        <v>-0.97831737071963021</v>
      </c>
      <c r="C12" s="21">
        <v>10.0390625</v>
      </c>
      <c r="U12" s="16"/>
      <c r="V12" s="16"/>
      <c r="W12" s="16"/>
      <c r="X12" s="16"/>
      <c r="Y12" s="16"/>
      <c r="Z12" s="16"/>
      <c r="AA12" s="16"/>
      <c r="AB12" s="16"/>
    </row>
    <row r="13" spans="1:28" x14ac:dyDescent="0.25">
      <c r="A13" s="20">
        <f t="shared" si="1"/>
        <v>1.9250000000000003</v>
      </c>
      <c r="B13" s="19">
        <f t="shared" ref="B13:B22" si="2">IFERROR(SIN(2*PI()*($W$2*C13-A13/$W$3)),0)</f>
        <v>-0.66973836629659544</v>
      </c>
      <c r="C13" s="21">
        <v>10.0390625</v>
      </c>
      <c r="U13" s="16"/>
      <c r="V13" s="16"/>
      <c r="W13" s="16"/>
      <c r="X13" s="16"/>
      <c r="Y13" s="16"/>
      <c r="Z13" s="16"/>
      <c r="AA13" s="16"/>
      <c r="AB13" s="16"/>
    </row>
    <row r="14" spans="1:28" x14ac:dyDescent="0.25">
      <c r="A14" s="20">
        <f t="shared" si="1"/>
        <v>2.1</v>
      </c>
      <c r="B14" s="19">
        <f t="shared" si="2"/>
        <v>-0.10534206951806314</v>
      </c>
      <c r="C14" s="21">
        <v>10.0390625</v>
      </c>
      <c r="U14" s="16"/>
      <c r="V14" s="16"/>
      <c r="W14" s="16"/>
      <c r="X14" s="16"/>
      <c r="Y14" s="16"/>
      <c r="Z14" s="16"/>
      <c r="AA14" s="16"/>
      <c r="AB14" s="16"/>
    </row>
    <row r="15" spans="1:28" x14ac:dyDescent="0.25">
      <c r="A15" s="20">
        <f t="shared" si="1"/>
        <v>2.2749999999999999</v>
      </c>
      <c r="B15" s="19">
        <f t="shared" si="2"/>
        <v>0.4992913173710205</v>
      </c>
      <c r="C15" s="21">
        <v>10.0390625</v>
      </c>
      <c r="U15" s="16"/>
      <c r="V15" s="16"/>
      <c r="W15" s="16"/>
      <c r="X15" s="16"/>
      <c r="Y15" s="16"/>
      <c r="Z15" s="16"/>
      <c r="AA15" s="16"/>
      <c r="AB15" s="16"/>
    </row>
    <row r="16" spans="1:28" x14ac:dyDescent="0.25">
      <c r="A16" s="20">
        <f t="shared" si="1"/>
        <v>2.4499999999999997</v>
      </c>
      <c r="B16" s="19">
        <f t="shared" si="2"/>
        <v>0.91321239131217946</v>
      </c>
      <c r="C16" s="21">
        <v>10.0390625</v>
      </c>
      <c r="U16" s="16"/>
      <c r="V16" s="16"/>
      <c r="W16" s="17"/>
      <c r="X16" s="16"/>
      <c r="Y16" s="16"/>
      <c r="Z16" s="16"/>
      <c r="AA16" s="16"/>
      <c r="AB16" s="16"/>
    </row>
    <row r="17" spans="1:28" x14ac:dyDescent="0.25">
      <c r="A17" s="20">
        <f t="shared" si="1"/>
        <v>2.6249999999999996</v>
      </c>
      <c r="B17" s="19">
        <f t="shared" si="2"/>
        <v>0.97831737071962066</v>
      </c>
      <c r="C17" s="21">
        <v>10.0390625</v>
      </c>
      <c r="U17" s="16"/>
      <c r="V17" s="16"/>
      <c r="W17" s="16"/>
      <c r="X17" s="16"/>
      <c r="Y17" s="16"/>
      <c r="Z17" s="16"/>
      <c r="AA17" s="16"/>
      <c r="AB17" s="16"/>
    </row>
    <row r="18" spans="1:28" x14ac:dyDescent="0.25">
      <c r="A18" s="20">
        <f t="shared" si="1"/>
        <v>2.7999999999999994</v>
      </c>
      <c r="B18" s="19">
        <f t="shared" si="2"/>
        <v>0.66973836629660355</v>
      </c>
      <c r="C18" s="21">
        <v>10.0390625</v>
      </c>
      <c r="U18" s="16"/>
      <c r="V18" s="16"/>
      <c r="W18" s="16"/>
      <c r="X18" s="16"/>
      <c r="Y18" s="16"/>
      <c r="Z18" s="16"/>
      <c r="AA18" s="16"/>
      <c r="AB18" s="16"/>
    </row>
    <row r="19" spans="1:28" x14ac:dyDescent="0.25">
      <c r="A19" s="20">
        <f t="shared" si="1"/>
        <v>2.9749999999999992</v>
      </c>
      <c r="B19" s="19">
        <f t="shared" si="2"/>
        <v>0.10534206951807386</v>
      </c>
      <c r="C19" s="21">
        <v>10.0390625</v>
      </c>
      <c r="U19" s="16"/>
      <c r="V19" s="16"/>
      <c r="W19" s="16"/>
      <c r="X19" s="16"/>
      <c r="Y19" s="16"/>
      <c r="Z19" s="16"/>
      <c r="AA19" s="16"/>
      <c r="AB19" s="16"/>
    </row>
    <row r="20" spans="1:28" x14ac:dyDescent="0.25">
      <c r="A20" s="20">
        <f t="shared" si="1"/>
        <v>3.149999999999999</v>
      </c>
      <c r="B20" s="19">
        <f t="shared" si="2"/>
        <v>-0.49929131737106042</v>
      </c>
      <c r="C20" s="21">
        <v>10.0390625</v>
      </c>
      <c r="U20" s="16"/>
      <c r="V20" s="16"/>
      <c r="W20" s="16"/>
      <c r="X20" s="16"/>
      <c r="Y20" s="16"/>
      <c r="Z20" s="16"/>
      <c r="AA20" s="16"/>
      <c r="AB20" s="16"/>
    </row>
    <row r="21" spans="1:28" x14ac:dyDescent="0.25">
      <c r="A21" s="20">
        <f t="shared" si="1"/>
        <v>3.3249999999999988</v>
      </c>
      <c r="B21" s="19">
        <f t="shared" si="2"/>
        <v>-0.91321239131217502</v>
      </c>
      <c r="C21" s="21">
        <v>10.0390625</v>
      </c>
      <c r="U21" s="16"/>
      <c r="V21" s="16"/>
      <c r="W21" s="16"/>
      <c r="X21" s="16"/>
      <c r="Y21" s="16"/>
      <c r="Z21" s="16"/>
      <c r="AA21" s="16"/>
      <c r="AB21" s="16"/>
    </row>
    <row r="22" spans="1:28" ht="15.75" thickBot="1" x14ac:dyDescent="0.3">
      <c r="A22" s="22">
        <f t="shared" si="1"/>
        <v>3.4999999999999987</v>
      </c>
      <c r="B22" s="23">
        <f t="shared" si="2"/>
        <v>-0.97831737071962299</v>
      </c>
      <c r="C22" s="24">
        <v>10.0390625</v>
      </c>
      <c r="U22" s="16"/>
      <c r="V22" s="16"/>
      <c r="W22" s="16"/>
      <c r="X22" s="16"/>
      <c r="Y22" s="16"/>
      <c r="Z22" s="16"/>
      <c r="AA22" s="16"/>
      <c r="AB22" s="16"/>
    </row>
    <row r="23" spans="1:28" x14ac:dyDescent="0.25">
      <c r="A23" s="31"/>
      <c r="B23" s="31"/>
      <c r="C23" s="31"/>
      <c r="U23" s="16"/>
      <c r="V23" s="16"/>
      <c r="W23" s="16"/>
      <c r="X23" s="16"/>
      <c r="Y23" s="16"/>
      <c r="Z23" s="16"/>
      <c r="AA23" s="16"/>
      <c r="AB23" s="16"/>
    </row>
    <row r="24" spans="1:28" x14ac:dyDescent="0.25">
      <c r="A24" s="31"/>
      <c r="B24" s="31"/>
      <c r="C24" s="8"/>
      <c r="U24" s="16"/>
      <c r="V24" s="16"/>
      <c r="W24" s="16"/>
      <c r="X24" s="16"/>
      <c r="Y24" s="16"/>
      <c r="Z24" s="16"/>
      <c r="AA24" s="16"/>
      <c r="AB24" s="16"/>
    </row>
    <row r="25" spans="1:28" x14ac:dyDescent="0.25">
      <c r="A25" s="2"/>
      <c r="B25" s="2"/>
      <c r="C25" s="2"/>
      <c r="U25" s="16"/>
      <c r="V25" s="16"/>
      <c r="W25" s="16"/>
      <c r="X25" s="16"/>
      <c r="Y25" s="16"/>
      <c r="Z25" s="16"/>
      <c r="AA25" s="16"/>
      <c r="AB25" s="16"/>
    </row>
    <row r="26" spans="1:28" x14ac:dyDescent="0.25">
      <c r="A26" s="2"/>
      <c r="B26" s="2"/>
      <c r="C26" s="2"/>
      <c r="U26" s="16"/>
      <c r="V26" s="16"/>
      <c r="W26" s="16"/>
      <c r="X26" s="16"/>
      <c r="Y26" s="16"/>
      <c r="Z26" s="16"/>
      <c r="AA26" s="16"/>
      <c r="AB26" s="16"/>
    </row>
    <row r="27" spans="1:28" x14ac:dyDescent="0.25">
      <c r="A27" s="2"/>
      <c r="B27" s="2"/>
      <c r="C27" s="2"/>
      <c r="U27" s="16"/>
      <c r="V27" s="16"/>
      <c r="W27" s="16"/>
      <c r="X27" s="16"/>
      <c r="Y27" s="16"/>
      <c r="Z27" s="16"/>
      <c r="AA27" s="16"/>
      <c r="AB27" s="16"/>
    </row>
    <row r="28" spans="1:28" x14ac:dyDescent="0.25">
      <c r="A28" s="2"/>
      <c r="B28" s="2"/>
      <c r="C28" s="2"/>
      <c r="U28" s="16"/>
      <c r="V28" s="16"/>
      <c r="W28" s="16"/>
      <c r="X28" s="16"/>
      <c r="Y28" s="16"/>
      <c r="Z28" s="16"/>
      <c r="AA28" s="16"/>
      <c r="AB28" s="16"/>
    </row>
    <row r="29" spans="1:28" x14ac:dyDescent="0.25">
      <c r="A29" s="2"/>
      <c r="B29" s="2"/>
      <c r="C29" s="2"/>
      <c r="U29" s="16"/>
      <c r="V29" s="16"/>
      <c r="W29" s="16"/>
      <c r="X29" s="16"/>
      <c r="Y29" s="16"/>
      <c r="Z29" s="16"/>
      <c r="AA29" s="16"/>
      <c r="AB29" s="16"/>
    </row>
    <row r="30" spans="1:28" x14ac:dyDescent="0.25">
      <c r="A30" s="2"/>
      <c r="B30" s="2"/>
      <c r="C30" s="2"/>
      <c r="U30" s="16"/>
      <c r="V30" s="16"/>
      <c r="W30" s="16"/>
      <c r="X30" s="16"/>
      <c r="Y30" s="16"/>
      <c r="Z30" s="16"/>
      <c r="AA30" s="16"/>
      <c r="AB30" s="16"/>
    </row>
    <row r="31" spans="1:28" x14ac:dyDescent="0.25">
      <c r="A31" s="2"/>
      <c r="B31" s="2"/>
      <c r="C31" s="2"/>
      <c r="U31" s="16"/>
      <c r="V31" s="16"/>
      <c r="W31" s="16"/>
      <c r="X31" s="16"/>
      <c r="Y31" s="16"/>
      <c r="Z31" s="16"/>
      <c r="AA31" s="16"/>
      <c r="AB31" s="16"/>
    </row>
    <row r="32" spans="1:28" x14ac:dyDescent="0.25">
      <c r="A32" s="2"/>
      <c r="B32" s="2"/>
      <c r="C32" s="2"/>
      <c r="U32" s="16"/>
      <c r="V32" s="16"/>
      <c r="W32" s="16"/>
      <c r="X32" s="16"/>
      <c r="Y32" s="16"/>
      <c r="Z32" s="16"/>
      <c r="AA32" s="16"/>
      <c r="AB32" s="16"/>
    </row>
    <row r="33" spans="1:28" x14ac:dyDescent="0.25">
      <c r="A33" s="2"/>
      <c r="B33" s="2"/>
      <c r="C33" s="2"/>
      <c r="U33" s="16"/>
      <c r="V33" s="16"/>
      <c r="W33" s="16"/>
      <c r="X33" s="16"/>
      <c r="Y33" s="16"/>
      <c r="Z33" s="16"/>
      <c r="AA33" s="16"/>
      <c r="AB33" s="16"/>
    </row>
    <row r="34" spans="1:28" x14ac:dyDescent="0.25">
      <c r="A34" s="2"/>
      <c r="B34" s="2"/>
      <c r="C34" s="2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</row>
    <row r="35" spans="1:28" x14ac:dyDescent="0.25">
      <c r="A35" s="2"/>
      <c r="B35" s="2"/>
      <c r="C35" s="2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</row>
    <row r="36" spans="1:28" x14ac:dyDescent="0.25">
      <c r="A36" s="2"/>
      <c r="B36" s="2"/>
      <c r="C36" s="2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</row>
    <row r="37" spans="1:28" x14ac:dyDescent="0.25">
      <c r="A37" s="2"/>
      <c r="B37" s="2"/>
      <c r="C37" s="2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</row>
    <row r="38" spans="1:28" x14ac:dyDescent="0.25">
      <c r="A38" s="2"/>
      <c r="B38" s="2"/>
      <c r="C38" s="2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</row>
    <row r="39" spans="1:28" x14ac:dyDescent="0.25">
      <c r="A39" s="2"/>
      <c r="B39" s="2"/>
      <c r="C39" s="2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</row>
    <row r="40" spans="1:28" x14ac:dyDescent="0.25">
      <c r="A40" s="2"/>
      <c r="B40" s="2"/>
      <c r="C40" s="2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</row>
    <row r="41" spans="1:28" x14ac:dyDescent="0.25">
      <c r="A41" s="2"/>
      <c r="B41" s="2"/>
      <c r="C41" s="2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</row>
    <row r="42" spans="1:28" x14ac:dyDescent="0.25">
      <c r="A42" s="2"/>
      <c r="B42" s="2"/>
      <c r="C42" s="2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</row>
    <row r="43" spans="1:28" x14ac:dyDescent="0.25">
      <c r="A43" s="2"/>
      <c r="B43" s="2"/>
      <c r="C43" s="2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</row>
    <row r="44" spans="1:28" x14ac:dyDescent="0.25">
      <c r="A44" s="2"/>
      <c r="B44" s="2"/>
      <c r="C44" s="2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</row>
    <row r="45" spans="1:28" x14ac:dyDescent="0.25">
      <c r="A45" s="2"/>
      <c r="B45" s="2"/>
      <c r="C45" s="2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</row>
    <row r="46" spans="1:28" x14ac:dyDescent="0.25">
      <c r="A46" s="2"/>
      <c r="B46" s="2"/>
      <c r="C46" s="2"/>
    </row>
    <row r="47" spans="1:28" x14ac:dyDescent="0.25">
      <c r="A47" s="2"/>
      <c r="B47" s="2"/>
      <c r="C47" s="2"/>
    </row>
    <row r="48" spans="1:28" x14ac:dyDescent="0.25">
      <c r="A48" s="2"/>
      <c r="B48" s="2"/>
      <c r="C48" s="2"/>
    </row>
    <row r="49" spans="1:3" x14ac:dyDescent="0.25">
      <c r="A49" s="2"/>
      <c r="B49" s="2"/>
      <c r="C49" s="2"/>
    </row>
    <row r="50" spans="1:3" x14ac:dyDescent="0.25">
      <c r="A50" s="2"/>
      <c r="B50" s="2"/>
      <c r="C50" s="2"/>
    </row>
    <row r="51" spans="1:3" x14ac:dyDescent="0.25">
      <c r="A51" s="2"/>
      <c r="B51" s="2"/>
      <c r="C51" s="2"/>
    </row>
    <row r="52" spans="1:3" x14ac:dyDescent="0.25">
      <c r="A52" s="2"/>
      <c r="B52" s="2"/>
      <c r="C52" s="2"/>
    </row>
    <row r="53" spans="1:3" x14ac:dyDescent="0.25">
      <c r="A53" s="2"/>
      <c r="B53" s="2"/>
      <c r="C53" s="2"/>
    </row>
    <row r="54" spans="1:3" x14ac:dyDescent="0.25">
      <c r="A54" s="2"/>
      <c r="B54" s="2"/>
      <c r="C54" s="2"/>
    </row>
    <row r="55" spans="1:3" x14ac:dyDescent="0.25">
      <c r="A55" s="2"/>
      <c r="B55" s="2"/>
      <c r="C55" s="2"/>
    </row>
    <row r="56" spans="1:3" x14ac:dyDescent="0.25">
      <c r="A56" s="2"/>
      <c r="B56" s="2"/>
      <c r="C56" s="2"/>
    </row>
    <row r="57" spans="1:3" x14ac:dyDescent="0.25">
      <c r="A57" s="2"/>
      <c r="B57" s="2"/>
      <c r="C57" s="2"/>
    </row>
    <row r="58" spans="1:3" x14ac:dyDescent="0.25">
      <c r="A58" s="2"/>
      <c r="B58" s="2"/>
      <c r="C58" s="2"/>
    </row>
    <row r="59" spans="1:3" x14ac:dyDescent="0.25">
      <c r="A59" s="2"/>
      <c r="B59" s="2"/>
      <c r="C59" s="2"/>
    </row>
    <row r="60" spans="1:3" x14ac:dyDescent="0.25">
      <c r="A60" s="2"/>
      <c r="B60" s="2"/>
      <c r="C60" s="2"/>
    </row>
    <row r="61" spans="1:3" x14ac:dyDescent="0.25">
      <c r="A61" s="2"/>
      <c r="B61" s="2"/>
      <c r="C61" s="2"/>
    </row>
    <row r="62" spans="1:3" x14ac:dyDescent="0.25">
      <c r="A62" s="2"/>
      <c r="B62" s="2"/>
      <c r="C62" s="2"/>
    </row>
    <row r="63" spans="1:3" x14ac:dyDescent="0.25">
      <c r="A63" s="2"/>
      <c r="B63" s="2"/>
      <c r="C63" s="2"/>
    </row>
    <row r="64" spans="1:3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  <row r="102" spans="1:3" x14ac:dyDescent="0.25">
      <c r="A102" s="2"/>
      <c r="B102" s="2"/>
      <c r="C102" s="2"/>
    </row>
    <row r="104" spans="1:3" x14ac:dyDescent="0.25">
      <c r="A104" s="2"/>
    </row>
  </sheetData>
  <mergeCells count="2">
    <mergeCell ref="A23:C23"/>
    <mergeCell ref="A24:B2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A0C1BE20D5E81409340BFBE0540F71B" ma:contentTypeVersion="9" ma:contentTypeDescription="Crie um novo documento." ma:contentTypeScope="" ma:versionID="bb53ed1606f88bd3ba3d9ebeccc198f2">
  <xsd:schema xmlns:xsd="http://www.w3.org/2001/XMLSchema" xmlns:xs="http://www.w3.org/2001/XMLSchema" xmlns:p="http://schemas.microsoft.com/office/2006/metadata/properties" xmlns:ns3="61cef99f-748f-4e66-bee2-96e3fa1c4d38" targetNamespace="http://schemas.microsoft.com/office/2006/metadata/properties" ma:root="true" ma:fieldsID="c3a3142f294b7721cf9a62dbf4b3b198" ns3:_="">
    <xsd:import namespace="61cef99f-748f-4e66-bee2-96e3fa1c4d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ef99f-748f-4e66-bee2-96e3fa1c4d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1735D62-FD42-4113-A6F6-5FD031C3B53F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61cef99f-748f-4e66-bee2-96e3fa1c4d38"/>
    <ds:schemaRef ds:uri="http://purl.org/dc/dcmitype/"/>
    <ds:schemaRef ds:uri="http://schemas.openxmlformats.org/package/2006/metadata/core-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94E70D3E-834D-49E4-A49C-47929563553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CB6E3D-E841-4F7B-BDFD-3401CAE947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ef99f-748f-4e66-bee2-96e3fa1c4d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Sandbox</vt:lpstr>
      <vt:lpstr>Consulta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GABRIEL DE MORAIS SOUZA</dc:creator>
  <cp:lastModifiedBy>JOSE GABRIEL DE MORAIS SOUZA</cp:lastModifiedBy>
  <dcterms:created xsi:type="dcterms:W3CDTF">2024-10-05T13:22:25Z</dcterms:created>
  <dcterms:modified xsi:type="dcterms:W3CDTF">2024-10-12T19:58:40Z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0x0101006A0C1BE20D5E81409340BFBE0540F71B</vt:lpwstr>
  </property>
</Properties>
</file>